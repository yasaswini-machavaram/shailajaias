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<sst xmlns="http://schemas.openxmlformats.org/spreadsheetml/2006/main" count="204" uniqueCount="196">
  <si>
    <t>Date</t>
  </si>
  <si>
    <t>Title</t>
  </si>
  <si>
    <t>Subject</t>
  </si>
  <si>
    <t>Tags</t>
  </si>
  <si>
    <t>Source</t>
  </si>
  <si>
    <t>Practice Questions</t>
  </si>
  <si>
    <t>Value Additions</t>
  </si>
  <si>
    <t>Context</t>
  </si>
  <si>
    <t>Q1</t>
  </si>
  <si>
    <t>A1</t>
  </si>
  <si>
    <t>Q2</t>
  </si>
  <si>
    <t>A2</t>
  </si>
  <si>
    <t>Q3</t>
  </si>
  <si>
    <t>A3</t>
  </si>
  <si>
    <t>Q4</t>
  </si>
  <si>
    <t>A4</t>
  </si>
  <si>
    <t>Q5</t>
  </si>
  <si>
    <t>A5</t>
  </si>
  <si>
    <t>Q6</t>
  </si>
  <si>
    <t>A6</t>
  </si>
  <si>
    <t>Image</t>
  </si>
  <si>
    <t>15 Years of NRLM</t>
  </si>
  <si>
    <t>GS-2: Governance</t>
  </si>
  <si>
    <t>NRLM, SHGs, Governance</t>
  </si>
  <si>
    <t>&lt;p&gt;"India's rural livelihoods model is emerging as a new template for South-South development cooperation." Examine this statement in light of NRLM's growing influence in Africa and its implications for India's development diplomacy.&lt;/p&gt;</t>
  </si>
  <si>
    <t>&lt;li&gt;&lt;b&gt;Bangladesh — Grameen Bank&lt;/b&gt; — origin of microfinance (Prof. Muhammad Yunus, 1976); individual lending model vs. India's group-federation model&lt;/li&gt;
&lt;li&gt;&lt;b&gt;UN SDG Goal 1 (No Poverty) &amp;amp; Goal 5 (Gender Equality)&lt;/b&gt; — NRLM directly advances both&lt;/li&gt;
&lt;li&gt;&lt;b&gt;Article 38 &amp;amp; 39 (DPSP)&lt;/b&gt; — state shall promote welfare and reduce inequalities; NRLM directly serves this&lt;/li&gt;
&lt;li&gt;National Rural Livelihoods Mission (NRLM) is active in 742 districts, reaching 100 million households, mobilising 9 million Self-Help Groups, and enabling ₹12 lakh crore in bank linkages. Over 20 million women SHG members now earn over ₹1 lakh annually. &lt;/li&gt;</t>
  </si>
  <si>
    <t>Launched in 2011, the National Rural Livelihoods Mission (NRLM) has grown into one of India's most consequential social programmes. What began as a domestic poverty alleviation programme has crossed borders — African nations including Ethiopia, Tanzania, Kenya, Rwanda, and Malawi are studying and adapting the SHG-based livelihood model.</t>
  </si>
  <si>
    <t>What are the key features of the National Rural Livelihoods Mission (NRLM)?</t>
  </si>
  <si>
    <t>&lt;li&gt;&lt;b&gt;Launch and Objective: Tackling Multidimensional Poverty&lt;/b&gt; NRLM launched in 2011 under Ministry of Rural Development — targeting rural households through self-employment and financial inclusion.&lt;/li&gt;
&lt;li&gt;&lt;b&gt;Core Unit: Self-Help Group (SHG)&lt;/b&gt; Groups of 10–15 women pool savings, practise peer lending, and build credit discipline — the foundational unit of NRLM.&lt;/li&gt;
&lt;li&gt;&lt;b&gt;Three-Tier Federated Architecture&lt;/b&gt; SHGs federated into Village Organisations, Cluster Level Federations, and Block Level Federations — creating institutional hierarchy bottom-up.&lt;/li&gt;
&lt;li&gt;&lt;b&gt;Financial Inclusion: Bank Linkage at Scale&lt;/b&gt; SHG formation helped in  connecting rural women to formal credit for the first time. SHG-Bank Linkage Programme — NABARD initiative (1992); collateral-free bank loans to SHGs&lt;/li&gt;
&lt;li&gt;&lt;b&gt;Community Cadres: &lt;/b&gt; Trained community resource persons deployed at village level — delivering banking, health, agriculture, and legal services locally.&lt;/li&gt;
&lt;li&gt;&lt;b&gt;Convergence: Beyond Livelihoods&lt;/b&gt; NRLM converges with MGNREGS, PM Awas Yojana, Ayushman Bharat — making SHGs entry points for all government schemes.&lt;/li&gt;</t>
  </si>
  <si>
    <t>What are the key achievements of NRLM since its launch in 2011?</t>
  </si>
  <si>
    <t>&lt;li&gt;&lt;b&gt;Scale: 100 Million Households Reached&lt;/b&gt; Active in 742 districts — largest community-based poverty programme in the world by reach.&lt;/li&gt;
&lt;li&gt;&lt;b&gt;9 Million SHGs Mobilised&lt;/b&gt; Over 87 lakh SHGs formed — bringing together more than 9 crore women across India.&lt;/li&gt;
&lt;li&gt;&lt;b&gt;₹12 Lakh Crore in Bank Linkages&lt;/b&gt; SHGs mobilised $65 billion in credit from public and private sector banks — world's largest financial inclusion programme.&lt;/li&gt;
&lt;li&gt;&lt;b&gt;Meaningful Incomes through Self-employment&lt;/b&gt; Over 20 million SHG members now earn more than ₹1 lakh annually — crossing a meaningful income threshold.&lt;/li&gt;
&lt;li&gt;&lt;b&gt;50 Million Women Accessed Formal Credit&lt;/b&gt; Over 50 million women accessed bank credit — many for the first time in their lives.&lt;/li&gt;
&lt;li&gt;&lt;b&gt;Women Banking Correspondents: 60% Coverage&lt;/b&gt; Women banking correspondents (Banking Sakhi) present in over 60% of local governments — delivering last-mile banking.&lt;/li&gt;
&lt;li&gt;&lt;b&gt;Female Labour Force Participation: Rising&lt;/b&gt; DAY-NRLM has brought 10.05 crore women into the formal financial system — directly boosting female labour force participation since 2018.&lt;/li&gt;
&lt;li&gt;&lt;b&gt;Social Empowerment Beyond Income&lt;/b&gt; Federation structure created platforms for collective action — improvements in health, education, sanitation, and women's voice in Gram Sabhas.&lt;/li&gt;
&lt;li&gt;&lt;b&gt;Global Diplomatic Tool: &lt;/b&gt;Ethiopia, Tanzania, Kenya, Rwanda, Malawi — all studying NRLM for replication; India exporting a social institution, not just aid.&lt;/li&gt;</t>
  </si>
  <si>
    <t>What makes the SHG-based model unique — and why has it succeeded where other poverty programmes have failed?</t>
  </si>
  <si>
    <t>&lt;li&gt;&lt;b&gt;Community-Owned, Not Government-Delivered&lt;/b&gt; Unlike top-down schemes, SHGs are member-owned — women control savings, lending, and decisions themselves.&lt;/li&gt;
&lt;li&gt;&lt;b&gt;Social Collateral Replaces Physical Collateral&lt;/b&gt; SHGs offer collateral-free loans based on trust and peer accountability — breaking banks' biggest barrier to rural lending.&lt;/li&gt;
&lt;li&gt;&lt;b&gt;Savings-Led Model: Discipline Before Credit&lt;/b&gt; Members save first, then borrow — building financial discipline before accessing larger bank loans.&lt;/li&gt;
&lt;li&gt;&lt;b&gt;Peer Pressure as Repayment Mechanism&lt;/b&gt; Group-based lending uses social bonds to ensure repayment — NPA rates for SHG loans are among the lowest in microfinance.&lt;/li&gt;
&lt;li&gt;&lt;b&gt;Cost-Effective: No Heavy Capital Investment&lt;/b&gt; Model relies on community cadres and peer systems — resource-constrained governments can scale without expensive infrastructure.&lt;/li&gt;
&lt;li&gt;&lt;b&gt;Convergence Platform: One Entry Point for All Schemes&lt;/b&gt; SHGs act as delivery platforms for health, MGNREGS, housing, rations — multiplying the impact of every government programme.&lt;/li&gt;
&lt;li&gt;&lt;b&gt;Why Others Failed: &lt;/b&gt;Earlier schemes gave individual subsidies — no group accountability, no institution-building, high leakage, unsustainable outcomes.&lt;/li&gt;
&lt;li&gt;&lt;b&gt;Long-Term Impact Beyond Income&lt;/b&gt; SHGs improve girl child education, healthcare, sanitation, and reduce domestic violence — non-financial impacts often underestimated.&lt;/li&gt;</t>
  </si>
  <si>
    <t>What are the remaining challenges and gaps in NRLM's implementation?</t>
  </si>
  <si>
    <t>&lt;li&gt;&lt;b&gt;Regional Disparity: South Thrives, North Lags&lt;/b&gt; Vast regional variation in SHG mobilisation persists — Bihar, UP, Jharkhand significantly behind Andhra, Tamil Nadu, Kerala.&lt;/li&gt;
&lt;li&gt;&lt;b&gt;Quality vs. Quantity: SHG Functionality Gap&lt;/b&gt; Many SHGs exist on paper — irregular meetings, poor record-keeping, and weak financial discipline remain common challenges.&lt;/li&gt;
&lt;li&gt;&lt;b&gt;Income Gap: Most Members Below ₹1 Lakh&lt;/b&gt; Only 2 crore of 90 crore women members earn ₹1 lakh+ — the majority still below meaningful income thresholds.&lt;/li&gt;
&lt;li&gt;&lt;b&gt;Credit Gap: Loans Too Small for Enterprise&lt;/b&gt; Average SHG loan sizes remain insufficient for productive enterprise investment — limiting members to subsistence-level microenterprise.&lt;/li&gt;
&lt;li&gt;&lt;b&gt;Market Linkage: Produce Without Buyers&lt;/b&gt; SHG products lack reliable markets — SARAS Melas and GEM portal help but reach is limited and inconsistent.&lt;/li&gt;
&lt;li&gt;&lt;b&gt;Insurance: Severely Underpenetrated&lt;/b&gt; Insurance outreach for SHG members remains critically low — leaving families financially vulnerable despite being in formal banking system.&lt;/li&gt;
&lt;li&gt;&lt;b&gt;Male Dependency: Patriarchy Limits Agency&lt;/b&gt; Women earn income but household financial decisions often still controlled by male members — true agency remains incomplete.&lt;/li&gt;</t>
  </si>
  <si>
    <t>Noida Factory Unrest 2026</t>
  </si>
  <si>
    <t>Worker’s Rights, Factory Unrest, Labour Code</t>
  </si>
  <si>
    <t>&lt;p&gt;"The Noida factory unrest of April 2026 is not merely a wage dispute — it is a systemic indictment of India's labour governance framework." Critically examine this statement with reference to minimum wages, contract labour, and migrant worker conditions.&lt;/p&gt;</t>
  </si>
  <si>
    <t>&lt;li&gt;&lt;b&gt;Bandhua Mukti Morcha v. Union of India (1984)&lt;/b&gt; — right to live with dignity includes right to fair wages&lt;/li&gt;
&lt;li&gt;&lt;b&gt;People's Union for Democratic Rights v. Union of India (1982)&lt;/b&gt; — non-payment of minimum wages is forced labour under Article 23&lt;/li&gt;
&lt;li&gt;&lt;b&gt;India&lt;/b&gt; — 2,000+ different minimum wage rates across states and sectors; weakest enforcement among comparable economies&lt;/li&gt;
&lt;li&gt;&lt;b&gt;Social Security Gap&lt;/b&gt; Over 76% of informal workers lack EPF, ESI, pension, or paid leave — completely unprotected against illness, injury, or job loss.&lt;/li&gt;
&lt;li&gt;&lt;b&gt;Code on Wages (2019)&lt;/b&gt; - Covers Minimum wages, overtime, bonus, equal pay&lt;/li&gt;
&lt;li&gt;&lt;b&gt;Industrial Relations Code (2020) &lt;/b&gt;- Covers Trade unions, strikes, fixed-term employment&lt;/li&gt;
&lt;li&gt;&lt;b&gt;Social Security Code (2020) &lt;/b&gt;- Covers PF, ESI, gratuity, gig workers&lt;/li&gt;
&lt;li&gt;&lt;b&gt;OSH Code (Occupational Safety, Health and Working Conditions Code&lt;/b&gt;) (2020) - Covers Safety, migrant workers, working conditions&lt;/li&gt;</t>
  </si>
  <si>
    <t>On April 13, 2026, a massive protest involving roughly 42,000 factory and contractual workers erupted across Noida’s major industrial hubs, including Phase-2, Sector 60 and Sector 62. What began as a strike demanding higher wages quickly escalated into a violent clash. Protesters clashed with police, vehicles were torched, and major traffic arteries connecting Noida to Delhi (like the DND Flyway, NH-9, and Chilla border) were completely paralyzed.
To defuse the mounting crisis, Chief Minister Yogi Adityanath approved a retrospective 20–21% minimum wage hike across the state, effective from April 1, 2026. Under the new structure for Noida/Ghaziabad, monthly wages were raised to ₹13,690 for unskilled, ₹15,059 for semi-skilled, and ₹16,868 for skilled workers.</t>
  </si>
  <si>
    <t>Why Were Workers Protesting?</t>
  </si>
  <si>
    <t>&lt;p&gt;The unrest was driven by deep-rooted economic pressures and recent regional developments:&lt;/p&gt;
&lt;li&gt;&lt;b&gt;The Haryana Catalyst:&lt;/b&gt; The immediate trigger was a recent 35% minimum wage hike in neighboring Haryana (affecting industrial hubs like Gurugram and Manesar) following similar protests. Noida workers saw the disparity and mobilized to demand parity. Haryana raised unskilled worker wages to ₹15,220 — nearly 35% above UP's ₹11,313 for the same work.&lt;/li&gt;
&lt;li&gt;&lt;b&gt;Stagnant Base Wages: Five Years Without Revision&lt;/b&gt; Between 2021 and 2026, CPI-IW rose 25% — but many states delayed revising base wages, making real wages negative.&lt;/li&gt;
&lt;li&gt;&lt;b&gt;Cost of Living Crisis: West Asia War as Accelerant&lt;/b&gt; US-Israel war on Iran disrupted global fuel supplies — pushing food and transport costs sharply higher for low-income workers.&lt;/li&gt;
&lt;li&gt;&lt;b&gt;Labour Code Frustrations:&lt;/b&gt; Workers and trade unions pointed to newly enforced national Labour Codes, which allow for longer workdays (up to 12 hours) without guaranteeing a living wage. This led to widespread grievances over unpaid overtime, reliance on easily exploitable contract labor, and poor working conditions&lt;/li&gt;</t>
  </si>
  <si>
    <t>How does India's minimum wage system work — and why does it fail workers despite regular revisions?</t>
  </si>
  <si>
    <t>&lt;li&gt;&lt;b&gt;Two-Component Structure: &lt;/b&gt;Minimum wage = Basic Wage (revised every 5 years) + Variable Dearness Allowance (revised every April and October based on CPI).&lt;/li&gt;
&lt;li&gt;&lt;b&gt;No Single National Minimum Wage&lt;/b&gt; India has no uniform national rate — wages vary by state, skill level, industry, and geographic zone — creating thousands of different rates.&lt;/li&gt;
&lt;li&gt;&lt;b&gt;Base Wage Delay: The Core Problem&lt;/b&gt; States updated inflation-linked VDA regularly — but delayed revising base wages, leaving overall wage growth inadequate between 2021–2026.&lt;/li&gt;
&lt;li&gt;&lt;b&gt;Massive Inter-State Disparity&lt;/b&gt; Unskilled worker minimum wages range from ₹11,389 (Punjab) to ₹19,846 (Delhi) — same work, vastly different pay across state borders.&lt;/li&gt;
&lt;li&gt;&lt;b&gt;Enforcement Gap: Inspections Are Weak&lt;/b&gt; Penalty for non-compliance: ₹50,000 fine first offence; ₹1 lakh plus 3 months imprisonment for repeat offences — but enforcement remains poor.&lt;/li&gt;
&lt;li&gt;&lt;b&gt;Code on Wages 2019: Reform on Paper&lt;/b&gt; National Floor Level Minimum Wage was ₹178/day — set in 2019; states often ignored it. Code on Wages consolidated four old laws — came into force November 2025; gives every worker statutory right to minimum wages for first time.&lt;/li&gt;
&lt;li&gt;&lt;b&gt;Minimum Wage ≠ Living Wage&lt;/b&gt; Policy discussions underway to shift to living wage — covering food, housing, healthcare, education — but no legislative timeline confirmed..&lt;/li&gt;</t>
  </si>
  <si>
    <t>What is the condition of contract and migrant workers in India's manufacturing sector — and what protections do they lack?</t>
  </si>
  <si>
    <t>&lt;li&gt;&lt;b&gt;Scale: 450 Million Internal Migrants&lt;/b&gt; India has about 450 million internal migrants — most are intrastate rural migrants or seasonal workers from economically backward states.&lt;/li&gt;
&lt;li&gt;&lt;b&gt;No Contracts, No Security: Hire and Fire&lt;/b&gt; Without formal contracts, migrants face arbitrary hire-and-fire practices —  makes them highly vulnerable to economic shocks.&lt;/li&gt;
&lt;li&gt;&lt;b&gt;Social Security Gap: &lt;/b&gt; Over 76% of informal workers lack EPF, ESI, pension, or paid leave — completely exposed to illness, injury, or job loss.&lt;/li&gt;
&lt;li&gt;&lt;b&gt;12-Hour Shifts: Legal Violation, Daily Reality&lt;/b&gt; Workers in Noida's electronics and garment factories routinely work 12–14 hour shifts — paying overtime for only 3 hours beyond the legal 8-hour limit.&lt;/li&gt;
&lt;li&gt;&lt;b&gt;Housing: 15-20 Workers in One Room&lt;/b&gt; Single male migrants live in informal rooms where 15–20 workers share an 8×10 feet space — no clean water or sanitation.&lt;/li&gt;
&lt;li&gt;&lt;b&gt;Political Voicelessness: Non-Voters in Host States&lt;/b&gt; Disenfranchised in host states, migrants lack collective bargaining power and political representation — making them easy targets for exploitation.&lt;/li&gt;
&lt;li&gt;&lt;b&gt;Women Migrants: Doubly Exploited&lt;/b&gt; Women migrants earn 35% less than men, are hired as "jodis" (couples), perform unpaid extra work, and have no maternity benefits.&lt;/li&gt;</t>
  </si>
  <si>
    <t>What policy reforms are needed to ensure wage justice, worker protection, and industrial peace in India?</t>
  </si>
  <si>
    <t>&lt;li&gt;Full implementation of four Labour Codes across all states — immediately&lt;/li&gt;
&lt;li&gt;Shift from minimum wage to living wage framework — legislate timeline&lt;/li&gt;
&lt;li&gt;Narrow inter-state wage gaps through binding national floor wage&lt;/li&gt;
&lt;li&gt;Universal portability of social security benefits for migrant workers— One Nation One Ration Card model should be extended to all benefits.&lt;/li&gt;
&lt;li&gt;Strict digital enforcement of overtime, PF, and ESI compliance&lt;/li&gt;
&lt;li&gt;Strengthen Trade Union Recognition&lt;b&gt; &lt;/b&gt;- strong collective bargaining is the most effective long-term tool for wage justice.&lt;/li&gt;
&lt;li&gt;Fast-track labour courts and lok adalats for dispute resolution&lt;/li&gt;</t>
  </si>
  <si>
    <t>Compressed Biogas: India’s Imperative</t>
  </si>
  <si>
    <t>GS-3: Economy</t>
  </si>
  <si>
    <t>CBG, LPG Crisis, Energy Security, Self-Reliance</t>
  </si>
  <si>
    <t>&lt;p&gt;Compressed Biogas (CBG) offers India a rare combination of energy security, environmental sustainability, and rural economic growth. Analyse its potential and the key challenges preventing its scale-up.&lt;/p&gt;</t>
  </si>
  <si>
    <t>&lt;li&gt;Crude oil import dependence: 88.6%&lt;/li&gt;
&lt;li&gt;45% crude, 60% natural gas, 90%+ LPG from Middle East&lt;/li&gt;
&lt;li&gt;LNG imports projected: 28–29 MMT this year&lt;/li&gt;
&lt;li&gt;Essential Commodities Act, 1955 — invoked during gas crisis to regulate LPG and natural gas supply&lt;/li&gt;
&lt;li&gt;National Biofuel Policy, 2018 — overarching framework; CBG as strategic bioenergy&lt;/li&gt;
&lt;li&gt;Ethanol Blending: The Success Model CBG Must Replicate&lt;/li&gt;
&lt;li&gt;Ethanol blending target advanced from 2030 to 2025–26&lt;/li&gt;
&lt;li&gt;20% ethanol blending achieved in petrol ahead of schedule&lt;/li&gt;
&lt;li&gt;Saved $4 billion in import costs; benefited 5 lakh farmers&lt;/li&gt;</t>
  </si>
  <si>
    <t>India's 2026 energy crisis — marked by LPG shortages in Mumbai and Bengaluru, LNG price spikes, and soaring import bills — is not a temporary disruption but a structural warning. India imports 88.6% of its crude oil, and domestic gas meets barely half of demand.</t>
  </si>
  <si>
    <t>What are the structural issues with India's energy framework that make it vulnerable to global shocks?</t>
  </si>
  <si>
    <t>&lt;li&gt;&lt;b&gt;Import Dependence: &lt;/b&gt;India is the world's third-largest crude oil importer, 88.6% Crude Oil Imported — domestic production meets barely 11.4% of demand.&lt;/li&gt;
&lt;li&gt;&lt;b&gt;Geographic Concentration: Middle East Chokehold&lt;/b&gt; 45% of crude oil, 60% of natural gas, and over 90% of LPG imports come from the Middle East — extreme regional concentration.&lt;/li&gt;
&lt;li&gt;&lt;b&gt;Strait of Hormuz: Single Point of Failure&lt;/b&gt; Before the 2026 crisis, 45% of crude imports and 60% of LPG requirements transited the Strait of Hormuz — one conflict shuts it all.&lt;/li&gt;
&lt;li&gt;&lt;b&gt;LNG Infrastructure Underutilised&lt;/b&gt; India has 50 MMT+ regasification capacity — but utilisation stuck at 50-60% due to pipeline constraints and demand mismatches.&lt;/li&gt;
&lt;li&gt;&lt;b&gt;Gas Production Gap: Half the Requirement&lt;/b&gt; Domestic gas production at 90 MMSCMD; projected shortfall of 30 MMSCMD from disrupted Gulf imports — domestic supply covers barely half of demand.&lt;/li&gt;
&lt;li&gt;&lt;b&gt;Fertiliser Vulnerability: &lt;/b&gt;30 out of 32 urea plants rely on natural gas as feedstock — gas shortages directly threaten Kharif sowing season and food security.&lt;/li&gt;
&lt;li&gt;&lt;b&gt;No Strategic Reserves: &lt;/b&gt;Strategic reserves sufficient for only 25 days of crude oil and LPG — and 10 days for LNG — dangerously thin buffer for a major economy.&lt;/li&gt;
&lt;li&gt;&lt;b&gt;Price Shock Transmission: &lt;/b&gt;Brent crude jumped from $80 to $120 per barrel in less than a week — transmitting inflation across transport, manufacturing, fertiliser, and food&lt;/li&gt;</t>
  </si>
  <si>
    <t>What is Compressed Biogas (CBG) — and what are its multiple benefits for Indian Economy?</t>
  </si>
  <si>
    <t>&lt;li&gt;CBG is purified biogas compressed to the same specification as fossil CNG — produced from organic waste, crop residue, cattle dung, municipal solid waste, and sewage. &lt;b&gt;How it is Made: Anaerobic Digestion&lt;/b&gt; Organic matter breaks down without oxygen — producing methane-rich biogas, which is purified to 97%+ methane and compressed into cylinders.&lt;/li&gt;
&lt;li&gt;&lt;b&gt;Feedstock Potential: &lt;/b&gt;India's total CBG potential: cattle dung 25 MMT, agricultural residues 20 MMT, sewage 10 MMT, municipal solid waste 5 MMT, press mud 2 MMT — 62 MMT total.&lt;/li&gt;
&lt;li&gt;&lt;b&gt;Energy Security — Import Substitution&lt;/b&gt; CBG offers a domestic renewable alternative to imported CNG — directly reducing India's 47% gas import dependence without new fuel infrastructure.&lt;/li&gt;
&lt;li&gt;&lt;b&gt;Drop-In Fuel — Existing Infrastructure Works&lt;/b&gt; CBG can be directly injected into City Gas Distribution networks and used in CNG vehicles — no new infrastructure required; immediate replacement possible.&lt;/li&gt;
&lt;li&gt;&lt;b&gt;Environment — Stops Stubble Burning&lt;/b&gt; Converting crop residue to CBG eliminates open burning — directly addressing Delhi's winter air quality crisis and methane emissions from paddy fields.&lt;/li&gt;
&lt;li&gt;&lt;b&gt;Reduced Methane Emissions —&lt;/b&gt; Expansion of CBG reduces methane emissions from agricultural waste — methane is 28x more potent than CO₂ as a greenhouse gas over 100 years.&lt;/li&gt;
&lt;li&gt;&lt;b&gt;Farmers as Energy Producers&lt;/b&gt; Farmers earn additional income selling crop waste and cattle dung — transforming agricultural by-products into a revenue stream rather than a disposal problem.&lt;/li&gt;
&lt;li&gt;&lt;b&gt;Organic Fertiliser as By-Product&lt;/b&gt; CBG production generates Fermented Organic Manure — reducing chemical fertiliser dependence and improving soil health in surrounding farmland.&lt;/li&gt;
&lt;li&gt;&lt;b&gt;Circular Economy — Waste to Wealth&lt;/b&gt; CBG embodies India's waste-to-wealth vision — aligning energy security with environmental sustainability and rural economic development simultaneously.&lt;/li&gt;</t>
  </si>
  <si>
    <t>What are the key challenges preventing India from scaling up CBG production despite strong policy intent?</t>
  </si>
  <si>
    <t>&lt;li&gt;&lt;b&gt;Gap Between Target and Reality: &lt;/b&gt;SATAT (Sustainable Alternative Towards Affordable Transportation) targeted 5,000 plants producing 15 MMT by 2025 — only 132 operational plants producing 920 tonnes per day achieved.&lt;/li&gt;
&lt;li&gt;&lt;b&gt;Feedstock Supply — Fragmented and Seasonal&lt;/b&gt; Feedstock availability fluctuates with harvest seasons — inconsistent supply results in low biogas yields and financial losses for plant operators.&lt;/li&gt;
&lt;li&gt;&lt;b&gt;High Upfront Capital — Financing Gap&lt;/b&gt; A 400 kg/day plant needs ₹1.65 crore; a 5,000 kg/day plant needs ₹16 crore — financing access constraints limit deployment, especially for medium enterprises.&lt;/li&gt;
&lt;li&gt;&lt;b&gt;Regulatory Approvals — &lt;/b&gt;Full regulatory approval process typically takes 9-12 months — single-window clearance is absent; multiple NOCs from environment, fire, and local bodies required.&lt;/li&gt;
&lt;li&gt;&lt;b&gt;Digestate Market Underdeveloped&lt;/b&gt; Fermented Organic Manure lacks sufficient nitrogen and potassium — making it less attractive than chemical fertilisers; by-product revenue stream remains unrealised.&lt;/li&gt;
&lt;li&gt;&lt;b&gt;Demand-Supply Location Mismatch&lt;/b&gt; High CBG demand exists in urban areas — but feedstock is rural; transportation costs make economics unviable when demand is far from production sites.&lt;/li&gt;
&lt;li&gt;&lt;b&gt;Technology Dependence — &lt;/b&gt;Sector continues to depend on imported technologies and equipment — no indigenous manufacturing base; 80% of capital cost is machinery and equipment.&lt;/li&gt;</t>
  </si>
  <si>
    <t>India-South Korea Ties</t>
  </si>
  <si>
    <t>GS-2: IR</t>
  </si>
  <si>
    <t>South Korea, IR, Act East</t>
  </si>
  <si>
    <t>&lt;p&gt;"India's Special Strategic Partnership with South Korea has remained underutilised despite strong economic foundations." Critically examine.&lt;/p&gt;</t>
  </si>
  <si>
    <t>&lt;li&gt;CEPA Review — India and South Korea are renegotiating CEPA since India faces a trade deficit (~$14 billion); reflects maturing economic diplomacy.&lt;/li&gt;
&lt;li&gt;Historical Civilisational Link — Legend of Queen Suriratna from Ayodhya marrying a Korean king (~48 AD) cited as a 2,000-year-old cultural connection — frequently referenced in diplomatic speeches.&lt;/li&gt;
&lt;li&gt;Economic Size — South Korea is the world's 13th largest economy (GDP ~$1.7 trillion); India is 5th (~$3.7 trillion)&lt;/li&gt;
&lt;li&gt;Trade Potential Gap — Bilateral trade (~$28 billion) is far below potential; India-China trade exceeds $130 billion, highlighting how much India-Korea trade can grow.&lt;/li&gt;</t>
  </si>
  <si>
    <t>South Korean President Lee Jae-myung recently concluded a landmark three-day state visit to India from April 19 to 21, 2026. This marked the first visit by a South Korean head of state in over eight years, with the explicit goal of elevating the two countries' "Special Strategic Partnership" to an entirely new level</t>
  </si>
  <si>
    <t>What is the significance of India-South Korea relationship?</t>
  </si>
  <si>
    <t>&lt;li&gt;&lt;b&gt;Historical Civilisational Link — &lt;/b&gt;Legend of Queen Suriratna from Ayodhya marrying a Korean king (~48 AD) cited as a 2,000-year-old cultural connection — frequently referenced in diplomatic speeches.&lt;/li&gt;
&lt;li&gt;&lt;b&gt;India's Act East Policy&lt;/b&gt; — South Korea is a key pillar; upgraded to "Special Strategic Partnership" in 2015.&lt;/li&gt;
&lt;li&gt;&lt;b&gt;Defence Cooperation&lt;/b&gt; — Joint exercises (Army, Navy, Air); Korea's K9 Thunder howitzer manufactured in India under Make in India.&lt;/li&gt;
&lt;li&gt;&lt;b&gt;Trade &amp;amp; Investment&lt;/b&gt; — Bilateral trade reached ~$28 billion (2023); CEPA (2010). Samsung, Hyundai, LG have invested billions; Hyundai alone employs ~15,000 Indians.&lt;/li&gt;
&lt;li&gt;&lt;b&gt;Demographic Complementarity —&lt;/b&gt; South Korea faces severe demographic decline (fertility rate ~0.72, lowest in the world); India has world's largest youth population — creates natural opportunity for labour, skilling, and migration partnerships.&lt;/li&gt;
&lt;li&gt;&lt;b&gt;Indo-Pacific Alignment&lt;/b&gt; — Both support rules-based Indo-Pacific order; convergence on countering China's assertiveness diplomatically.&lt;/li&gt;</t>
  </si>
  <si>
    <t>What were the key highlights of the summit?</t>
  </si>
  <si>
    <t>&lt;p&gt;&lt;b&gt;1. Ambitious Trade Targets&lt;/b&gt;&lt;/p&gt;
&lt;li&gt;&lt;b&gt;$50 Billion Goal:&lt;/b&gt; India and South Korea committed to doubling their bilateral trade to &lt;b&gt;$50 billion by 2030&lt;/b&gt;.&lt;/li&gt;
&lt;li&gt;&lt;b&gt;Economic Committee:&lt;/b&gt; The two nations established a new ministerial-level economic cooperation committee to streamline trade relations and address imbalances within their Comprehensive Economic Partnership Agreement (CEPA).&lt;/li&gt;
&lt;p&gt;&lt;b&gt;2. Heavyweight Corporate Backing&lt;/b&gt;&lt;/p&gt;
&lt;li&gt;&lt;b&gt;Chaebol Delegation:&lt;/b&gt; President Lee was accompanied by a massive 200-member business delegation. Crucially, this included the chairmen of South Korea's top five conglomerates —&lt;b&gt;Samsung, SK, Hyundai, LG, and Lotte&lt;/b&gt;.&lt;/li&gt;
&lt;li&gt;&lt;b&gt;Manufacturing Hub:&lt;/b&gt; The heavy corporate presence underscores South Korea's pivot toward India as a primary destination for global manufacturing and investment, viewing India as the anchor of the "Global South."&lt;/li&gt;
&lt;p&gt;&lt;b&gt;3. Supply Chain and Energy Security&lt;/b&gt;&lt;/p&gt;
&lt;li&gt;&lt;b&gt;Maritime Safety:&lt;/b&gt; Acknowledging the economic pressure from geopolitical disruptions (specifically in the Strait of Hormuz), both countries agreed to collaborate on ensuring safe maritime passage to protect their shared reliance on Middle Eastern crude oil and natural gas.&lt;/li&gt;
&lt;li&gt;&lt;b&gt;Critical Minerals:&lt;/b&gt; To reduce dependence on single-source imports, the leaders agreed to combine South Korea's advanced technology with India's mining and refining capabilities to secure stable critical mineral supply chains.&lt;/li&gt;
&lt;p&gt;&lt;b&gt;4. Next-Gen Tech &amp;amp; Defense&lt;/b&gt;&lt;/p&gt;
&lt;li&gt;&lt;b&gt;Sector Focus:&lt;/b&gt; Delegation-level talks led by President Lee and Prime Minister Narendra Modi heavily focused on broadening cooperation in high-growth, strategic fields, primarily &lt;b&gt;Artificial Intelligence (AI)&lt;/b&gt;, &lt;b&gt;semiconductors&lt;/b&gt;, &lt;b&gt;shipbuilding&lt;/b&gt;, and &lt;b&gt;defense manufacturing&lt;/b&gt;.&lt;/li&gt;
&lt;p&gt;&lt;b&gt;5. Financial Market Integration&lt;/b&gt;&lt;/p&gt;
&lt;li&gt;&lt;b&gt;Fintech &amp;amp; Banking:&lt;/b&gt; A significant Memorandum of Understanding (MoU) was signed between the financial authorities of both countries. This lays the groundwork for South Korean financial institutions to enter the Indian market and strengthens collaboration in financial services and fintech.&lt;/li&gt;</t>
  </si>
  <si>
    <t>What are the key challenges in the relationship?</t>
  </si>
  <si>
    <t>&lt;li&gt;&lt;b&gt;Low Trade Volume:&lt;/b&gt; Current $27 billion bilateral trade severely underperforms for two of the world's top 15 economies.&lt;/li&gt;
&lt;li&gt;&lt;b&gt;Stalled Trade Pact:&lt;/b&gt; The CEPA trade agreement upgrade remains unresolved, hindering market access and failing to fix trade imbalances.&lt;/li&gt;
&lt;li&gt;&lt;b&gt;Low Expatriate Numbers:&lt;/b&gt; Despite significant corporate investments, India hosts only 12,000 Korean residents, drastically trailing behind nations like Vietnam (2 Lakh Koreans).&lt;/li&gt;
&lt;li&gt;&lt;b&gt;Tourism Disconnect:&lt;/b&gt; Despite shared ancient history and K-culture's immense popularity in India, two-way tourist traffic remains remarkably low.&lt;/li&gt;
&lt;li&gt;&lt;b&gt;Diplomatic Inertia:&lt;/b&gt; An eight-year gap between presidential visits highlights a historical lack of sustained, high-level political momentum.&lt;/li&gt;
&lt;li&gt;&lt;b&gt;Tech Transfer Reluctance: &lt;/b&gt;South Korean chaebols often hesitate to share core intellectual property, stalling India’s "Make in India" defense and tech goals.&lt;/li&gt;
&lt;li&gt;&lt;b&gt;Strategic Balancing Act with China:&lt;/b&gt; Seoul hesitates to openly antagonize Beijing due to deep economic ties, complicating deeper military alignment with New Delhi.&lt;/li&gt;
&lt;li&gt;&lt;b&gt;Indo-Pacific Coordination:&lt;/b&gt; Translating shared democratic values into actionable, deeply integrated strategic and security partnerships remains a slow process.&lt;/li&gt;</t>
  </si>
  <si>
    <t>High heat: On India and warming</t>
  </si>
  <si>
    <t>GS-3: Environment</t>
  </si>
  <si>
    <t>Heat Waves, Climate Change</t>
  </si>
  <si>
    <t>&lt;p&gt;"India's heatwaves are no longer a seasonal inconvenience — they are a structural risk to public health, food security, and economic productivity." Critically examine this statement and suggest a comprehensive heat resilience framework.&lt;/p&gt;</t>
  </si>
  <si>
    <t>&lt;li&gt;98 of world's 100 hottest cities in India — April 2026&lt;/li&gt;
&lt;li&gt;247 billion work-hours lost globally to heat in 2024 — The Lancet&lt;/li&gt;
&lt;li&gt;10,000+ heatwave deaths in India between 2000–2020&lt;/li&gt;
&lt;li&gt;&lt;b&gt;Projected GDP loss due Heat Wave&lt;/b&gt;s: $126 billion annually by 2030&lt;/li&gt;
&lt;li&gt;&lt;b&gt;Ahmedabad HAP (2013)&lt;/b&gt; — South Asia's first; model for other cities&lt;/li&gt;
&lt;li&gt;&lt;b&gt;Heat dome&lt;/b&gt; — high-pressure system trapping hot air; key driver of 2026 heatwave&lt;/li&gt;
&lt;li&gt;&lt;b&gt;Urban Heat Island (UHI) &lt;/b&gt;— cities 2–5°C hotter than surroundings due to concrete and reduced green cover&lt;/li&gt;
&lt;li&gt;&lt;b&gt;Wet bulb temperature —&lt;/b&gt; measure combining heat and humidity; survivability limit is 35°C wet bulb&lt;/li&gt;
&lt;li&gt;&lt;b&gt;Spain&lt;/b&gt; — first country to include extreme heat in workers' rights legislation (2023)&lt;/li&gt;
&lt;li&gt;&lt;b&gt;Greece&lt;/b&gt; — mandatory outdoor work ban 12–5 PM during extreme heat events&lt;/li&gt;</t>
  </si>
  <si>
    <t>India's 2026 summer has arrived alarmingly early — heat alerts are active across Vidarbha, Chhattisgarh, Odisha, Telangana, Kerala, Andhra Pradesh, and Gujarat, with temperatures crossing 40°C in April — months ahead of the usual May-June peak.</t>
  </si>
  <si>
    <t>What are the meteorological and climatic factors driving India's early and intense 2026 heatwave?</t>
  </si>
  <si>
    <t>&lt;li&gt;&lt;b&gt;Heat Dome: &lt;/b&gt;A heat dome trapped hot air over the Indo-Gangetic plains — blocking cooling and pushing temperatures past 45°C.&lt;/li&gt;
&lt;li&gt;&lt;b&gt;Absent Western Disturbances: &lt;/b&gt;Western disturbances — which bring rain to plains and snow to hills — have become weakened and infrequent in 2026.&lt;/li&gt;
&lt;li&gt;&lt;b&gt;Super El Niño: &lt;/b&gt;WMO says El Niño conditions will likely develop between May–July 2026 — potentially intensifying heat further across India.&lt;/li&gt;
&lt;li&gt;&lt;b&gt;Dry Ground: &lt;/b&gt;India received 60% below-normal rainfall in January–February 2026 — depleted soil moisture causes land to heat more rapidly.&lt;/li&gt;
&lt;li&gt;&lt;b&gt;Low Convective Activity: No Thunderstorm Relief&lt;/b&gt; Absence of convective activity has eliminated thunderstorm-driven cooling — a key natural heat-relief mechanism in April.&lt;/li&gt;
&lt;li&gt;&lt;b&gt;Climate Change: &lt;/b&gt;Frequency, duration, and intensity of heatwaves over central and northwest India are all increasing — driven by global warming.&lt;/li&gt;
&lt;li&gt;&lt;b&gt;Urban Heat Island: Cities Make It Worse&lt;/b&gt; Concrete surfaces, reduced green cover, and waste heat make Indian cities significantly hotter than surrounding rural areas.&lt;/li&gt;</t>
  </si>
  <si>
    <t>What are the health, economic, and food security consequences of extreme heat in India?</t>
  </si>
  <si>
    <t>&lt;li&gt;&lt;b&gt;10,000 Deaths Between 2000–2020&lt;/b&gt; due to heatwaves in India — elderly, outdoor workers, and urban poor most affected.&lt;/li&gt;
&lt;li&gt;&lt;b&gt;Hospitals Overwhelmed&lt;/b&gt; Hospitals in impacted areas report consistent increases in heat exhaustion, dehydration, and heatstroke cases during the 2026 heatwave.&lt;/li&gt;
&lt;li&gt;&lt;b&gt;Economic Loss: &lt;/b&gt;According to The Lancet Countdown Global Report 247 Billion Work-Hours Lost in 2024 — construction and agriculture workers are the most severely affected groups.&lt;/li&gt;
&lt;li&gt;&lt;b&gt;$126 Billion GDP Loss Projected by 2030&lt;/b&gt; — representing schools not built, hospitals not funded, and clean water systems not installed.&lt;/li&gt;
&lt;li&gt;&lt;b&gt;Power Demand Surging&lt;/b&gt; India's peak power demand surged to 256 GW on April 25, 2026 — increased cooling load strains grid and raises electricity costs for all.&lt;/li&gt;
&lt;li&gt;&lt;b&gt;Farm Work Becoming Unsafe&lt;/b&gt; Extreme heat could make farm work unsafe for up to 250 days a year by 2100 — agricultural workers already face 35 times higher heat-death risk.&lt;/li&gt;
&lt;li&gt;&lt;b&gt;Food Security: &lt;/b&gt;Heat stress accelerates crop maturity during rabi harvest — threatening wheat and pulses yields, feeding inflationary pressure and food insecurity.&lt;/li&gt;
&lt;li&gt;&lt;b&gt;Schools Closing, Education Disrupted&lt;/b&gt; Several states have adjusted school hours or ordered temporary closures — classrooms become unsafe during peak afternoon heat.&lt;/li&gt;</t>
  </si>
  <si>
    <t>What are Heat Action Plans (HAPs) — and why have they failed to address India's underlying heat vulnerability?</t>
  </si>
  <si>
    <t>&lt;li&gt;&lt;b&gt;HAPs Are India's Primary Heat Response Tool&lt;/b&gt; that  are city or state-level plans prescribing interventions — from cooling centres to public awareness — triggered when temperatures exceed thresholds. &lt;/li&gt;
&lt;li&gt;Ahmedabad HAP (2013) — launched after a deadly 2010 heatwave — became South Asia's first heat action plan; now a model for other cities.&lt;/li&gt;
&lt;li&gt;&lt;b&gt;Emergency-Only Focus&lt;/b&gt; Most HAPs focus on emergency response — lacking structural interventions like urban re-greening or mandatory heat-safety legislation for workers.&lt;/li&gt;
&lt;li&gt;&lt;b&gt;Underfunded&lt;/b&gt; None of the 37 HAPs reviewed had appropriate financial backing — plans exist on paper without resources for implementation.&lt;/li&gt;
&lt;li&gt;&lt;b&gt;No Local Vulnerability Assessment&lt;/b&gt; HAPs rarely consider humid heat, hot nights, or built-up area extent — resulting in limited understanding of social distribution of heat risk.&lt;/li&gt;
&lt;li&gt;&lt;b&gt;No Climate Projections&lt;/b&gt; None of the HAPs reviewed build climate projections into planning — limiting structural changes needed as cities expand and heat intensifies.&lt;/li&gt;
&lt;li&gt;&lt;b&gt;Weak Legal Foundation&lt;/b&gt; None of the HAPs indicate their legal sources of authority — reducing bureaucratic accountability and compliance among implementing agencies.&lt;/li&gt;
&lt;li&gt;&lt;b&gt;Heatwaves Not a Notified Disaster&lt;/b&gt; Heatwaves are not classified under the Disaster Management Act, 2005 — denying access to disaster preparedness funds for heat response.&lt;/li&gt;</t>
  </si>
  <si>
    <t>What structural interventions are needed to make India genuinely heat-resilient?</t>
  </si>
  <si>
    <t>&lt;li&gt;&lt;b&gt;Notify Heatwaves as Natural Disasters&lt;/b&gt; Adding heatwaves to the Disaster Management Act unlocks NDRF funds — enabling long-term HAP financing instead of reactive emergency spending.&lt;/li&gt;
&lt;li&gt;&lt;b&gt;Urban Re-Greening: &lt;/b&gt;Cool roofs reduce indoor temperatures by 1–1.5°C in informal dwellings — scaling this alongside urban forests can significantly reduce urban heat island intensity.&lt;/li&gt;
&lt;li&gt;&lt;b&gt;Mandatory Heat-Safety Laws for Workers&lt;/b&gt; Informal sector workers — construction, agriculture, street vendors — need statutory right to shade, water, and rest breaks during peak heat hours.&lt;/li&gt;
&lt;li&gt;&lt;b&gt;Cooling Stations: &lt;/b&gt;Net-zero cooling stations combining wind towers, misting fans, solar power, ORS, and first aid — scalable model for protecting outdoor workers in all cities.&lt;/li&gt;
&lt;li&gt;&lt;b&gt;AI-Driven Vulnerability Mapping&lt;/b&gt; Delhi's 2025 HAP uses AI and satellite data to create building-level vulnerability maps — identifying hottest clusters for targeted low-cost interventions.&lt;/li&gt;
&lt;li&gt;&lt;b&gt;Integrate HAPs with Urban Planning&lt;/b&gt; India must weave climate resilience into building codes, urban master plans, and public health systems — not treat heatwaves as seasonal emergencies.&lt;/li&gt;</t>
  </si>
  <si>
    <t>Tenth Schedule: AAP Defections</t>
  </si>
  <si>
    <t>GS-2: Polity</t>
  </si>
  <si>
    <t>Anti-Defection, Tenth Schedule, Democracy</t>
  </si>
  <si>
    <t>&lt;p&gt;"The Tenth Schedule, introduced to prevent defections, has itself become an instrument for engineering them through its merger loophole." Critically examine this statement with reference to recent developments and suggest reforms.&lt;/p&gt;</t>
  </si>
  <si>
    <t>&lt;li&gt;&lt;b&gt;Kihoto Hollohan v. Zachillhu (1992) &lt;/b&gt;- Tenth Schedule upheld; Speaker's decisions subject to judicial review&lt;/li&gt;
&lt;li&gt;&lt;b&gt;Keisham Meghachandra v. Speaker Manipur (2020&lt;/b&gt;) - Speaker must decide within 3 months; independent tribunal suggested&lt;/li&gt;
&lt;li&gt;&lt;b&gt;Subhash Desai v. Principal Secretary (2023) &lt;/b&gt;- Legislature party cannot dictate political party; two distinct entities&lt;/li&gt;
&lt;li&gt;&lt;b&gt;Article 102(2)&lt;/b&gt; — disqualification of Lok Sabha members under Tenth Schedule&lt;/li&gt;
&lt;li&gt;&lt;b&gt;Article 191(2)&lt;/b&gt; — disqualification of State Assembly members under Tenth Schedule&lt;/li&gt;
&lt;li&gt;&lt;b&gt;Article 122&lt;/b&gt; — proceedings in Parliament not to be questioned in court; does not protect Speaker acting as tribunal&lt;/li&gt;
&lt;li&gt;&lt;b&gt;Canada, Germany, France, Australia&lt;/b&gt; — no anti-defection laws; rely on party discipline and electoral accountability&lt;/li&gt;</t>
  </si>
  <si>
    <t>On April 24, 2026, seven of AAP's 10 Rajya Sabha members merged with the BJP — a move accepted by the Rajya Sabha Chairman, pushing NDA above the halfway mark in the Upper House for the first time.</t>
  </si>
  <si>
    <t>What is the Tenth Schedule — its origin, intent, and key provisions?</t>
  </si>
  <si>
    <t>&lt;li&gt;&lt;b&gt;Aya Ram Gaya Ram as Origin&lt;/b&gt; Haryana MLA Gaya Lal changed parties thrice in one day in 1967 — symbolising rampant defections destabilising governments across India.&lt;/li&gt;
&lt;li&gt;&lt;b&gt;52nd Amendment 1985&lt;/b&gt; Rajiv Gandhi introduced the anti-defection bill after 1984 majority — passed unanimously by both Houses in January 1985.&lt;/li&gt;
&lt;li&gt;&lt;b&gt;Stability as Core Intent&lt;/b&gt; To prevent party-switching for personal gain, protecting electoral mandates and ensuring legislative stability.&lt;/li&gt;
&lt;li&gt;&lt;b&gt;Two Grounds for Disqualification&lt;/b&gt; Voluntarily giving up party membership; or voting/abstaining contrary to party direction without prior permission.&lt;/li&gt;
&lt;li&gt;&lt;b&gt;Merger Exception&lt;/b&gt; Two-thirds of a party's legislators agreeing to merge with another party. This exempts members from disqualification of House membership.&lt;/li&gt;
&lt;li&gt;&lt;b&gt;Speaker as Deciding Authority&lt;/b&gt; All disqualification decisions rest with the Speaker or Chairman of the House — not courts or Election Commission.&lt;/li&gt;
&lt;li&gt;&lt;b&gt;Whip as Enforcement Mechanism&lt;/b&gt; Party whip communicates official position to members — not obeying it without permission triggers disqualification under the Schedule.&lt;/li&gt;</t>
  </si>
  <si>
    <t>What are the key loopholes and structural weaknesses in the Tenth Schedule that have allowed defections to continue?</t>
  </si>
  <si>
    <t>&lt;li&gt;&lt;b&gt;Merger Exception as Wholesale Defection Route&lt;/b&gt; Two-thirds majority claiming a "merger" enables large-scale defections without disqualification — individual defection punished, group defection protected.&lt;/li&gt;
&lt;li&gt;&lt;b&gt;Legislature Party vs Political Party Conflation&lt;/b&gt; Defectors claim merger of legislature wing alone — ignoring party workers, members, and organisational structure that constitute the actual political party. Seven of AAP's 10 Rajya Sabha members claimed merger as exemption under tenth Schedule — but SC in Subhash Desai (2023) held legislature party cannot dictate the course of the political party.&lt;/li&gt;
&lt;li&gt;&lt;b&gt;Speaker as Conflicted Adjudicator&lt;/b&gt; Speakers — aligned with ruling parties — use the Tenth Schedule to delay disqualifications, protecting defectors and rewarding political allies through inaction.&lt;/li&gt;
&lt;li&gt;&lt;b&gt;No Time Limit for Speaker Decisions&lt;/b&gt; The law specifies no time period for Speaker to decide disqualification — petitioners have no option but to wait indefinitely while defectors continue occupying seats.&lt;/li&gt;
&lt;li&gt;&lt;b&gt;Judicial Intervention Too Little Too Late&lt;/b&gt; SC can intervene only after Speaker decides — courts cannot act during delays; by the time judgment comes, governments have already been formed or fallen.&lt;/li&gt;
&lt;li&gt;&lt;b&gt;No Deterrence Against Repeat Defections&lt;/b&gt; Despite SC rulings in Kihoto Hollohan (1992), Keisham Meghachandra (2020), and Subhash Desai (2023) — defections continue with impunity; SC orders have no teeth.&lt;/li&gt;</t>
  </si>
  <si>
    <t>What are the consequences of these structural weaknesses in the Tenth Schedule for Indian democracy?</t>
  </si>
  <si>
    <t>&lt;li&gt;&lt;b&gt;Electoral Mandate Betrayed&lt;/b&gt; Defections allow legislators to override the electorate's verdict — voters chose one party; defectors deliver another party to power.&lt;/li&gt;
&lt;li&gt;&lt;b&gt;Elected Governments Unseated Through Defections&lt;/b&gt; Karnataka 2019, Maharashtra 2022, Goa 2017 — elected governments fell not through elections but through engineered mass defections exploiting merger loopholes.&lt;/li&gt;
&lt;li&gt;&lt;b&gt;Horse-Trading Institutionalised&lt;/b&gt; Mass defections — as the 2026 episode demonstrated — are coordinated, rewarded — normalising money and office as tools of political recruitment.&lt;/li&gt;
&lt;li&gt;&lt;b&gt;Constitutional Offices Damaged&lt;/b&gt; Partisan Speakers delay disqualification to protect ruling party defectors — damaging the neutrality and constitutional integrity of the presiding officer's office.&lt;/li&gt;
&lt;li&gt;&lt;b&gt;Public Trust in Democracy Eroded&lt;/b&gt; Inability to prevent coordinated mass defections has renewed public cynicism about democratic institutions — voters feel their mandate is routinely betrayed after elections.&lt;/li&gt;</t>
  </si>
  <si>
    <t>India-New Zealand Free Trade Deal</t>
  </si>
  <si>
    <t>New Zealand, FTA, IR</t>
  </si>
  <si>
    <t>&lt;p&gt;"Free Trade Agreements are often celebrated for their headline numbers but criticised for their ground-level impact." In the context of the India–New Zealand FTA, critically examine whether the deal delivers structural economic transformation or remains largely symbolic.&lt;/p&gt;</t>
  </si>
  <si>
    <t>&lt;li&gt;&lt;b&gt;India's FTA Momentum&lt;/b&gt; 7th FTA in 3.5 years; 9 agreements with 38 developed nations covering 65–70% of global GDP.&lt;/li&gt;
&lt;li&gt;&lt;b&gt;Tariff Structure&lt;/b&gt; NZ: 100% duty-free for India. India: 30% immediate elimination, 35.6% phased, 4.37% reduced, 29.97% excluded.&lt;/li&gt;
&lt;li&gt;&lt;b&gt;TRQ Mechanism&lt;/b&gt; Tariff Rate Quota with Minimum Import Price used for apples, kiwifruit, Manuka honey — WTO-compatible safeguard tool.&lt;/li&gt;
&lt;li&gt;&lt;b&gt;Low Bilateral Base Problem&lt;/b&gt; India-NZ trade at USD 1.3 billion is negligible — India-Australia trade stands at USD 26 billion; India-UAE exceeds USD 85 billion — NZ deal needs years to scale.&lt;/li&gt;
&lt;li&gt;China accounts for nearly 30% of NZ's total exports — India FTA gives NZ strategic trade diversification.&lt;/li&gt;</t>
  </si>
  <si>
    <t>India and New Zealand signed a Free Trade Agreement on April 27, 2026 at Bharat Mandapam, New Delhi — concluded in just nine months, making it one of India's fastest FTAs with a developed country.</t>
  </si>
  <si>
    <t>What are the key features of the India-New Zealand FTA?</t>
  </si>
  <si>
    <t>&lt;li&gt;&lt;b&gt;100% Duty-Free Exports&lt;/b&gt; India gets zero-duty access on all tariff lines in New Zealand from day one.&lt;/li&gt;
&lt;li&gt;&lt;b&gt;Calibrated Import Opening&lt;/b&gt; India liberalises 70% of tariff lines covering 95% of bilateral trade value — not full opening.&lt;/li&gt;
&lt;li&gt;&lt;b&gt;Sensitive Sectors Excluded&lt;/b&gt; Dairy, edible oils, sugar, gems, aluminium, copper kept out — protecting vulnerable domestic industries.&lt;/li&gt;
&lt;li&gt;&lt;b&gt;Tariff Rate Quota System&lt;/b&gt; Apples, kiwifruit, Manuka honey get limited access with Minimum Import Price — preventing flood of cheap imports.&lt;/li&gt;
&lt;li&gt;&lt;b&gt;Services Access — 118 Sectors&lt;/b&gt; New Zealand opens IT, healthcare, education, finance, construction — best-ever offer to any country.&lt;/li&gt;
&lt;li&gt;&lt;b&gt;Talent Mobility Pathway&lt;/b&gt; 5,000 TEE visas for Indian professionals; AYUSH practitioners, chefs, IT engineers included.&lt;/li&gt;
&lt;li&gt;&lt;b&gt;Student Mobility First&lt;/b&gt; No numerical cap on Indian students; post-study work rights up to 4 years for PhD holders — unprecedented.&lt;/li&gt;
&lt;li&gt;&lt;b&gt;Pharma Fast-Track&lt;/b&gt; India's pharma exports to NZ fast-tracked via mutual recognition of US FDA, EMA inspection reports.&lt;/li&gt;
&lt;li&gt;&lt;b&gt;USD 20 Billion Investment&lt;/b&gt; New Zealand commits to facilitating investment into India — with a rebalancing clause if targets missed.&lt;/li&gt;
&lt;li&gt;&lt;b&gt;AYUSH Goes Global&lt;/b&gt; First-ever dedicated traditional medicine chapter in any NZ FTA — opens wellness, yoga, Ayurveda services market.&lt;/li&gt;
&lt;li&gt;&lt;b&gt;GI Protection Commitment&lt;/b&gt; NZ to amend domestic GI law within 18 months — enabling protection of Indian GIs beyond wines and spirits.&lt;/li&gt;
&lt;li&gt;&lt;b&gt;Agricultural Productivity Pact&lt;/b&gt; Joint Centres of Excellence for apples, kiwifruit, Manuka honey — knowledge transfer to Indian farmers.&lt;/li&gt;
&lt;li&gt;&lt;b&gt;Organics MRA&lt;/b&gt; Mutual recognition of organic certification standards — opens NZ and broader Indo-Pacific market for Indian organics.&lt;/li&gt;</t>
  </si>
  <si>
    <t>What are the benefits of the deal to India and New Zealand?</t>
  </si>
  <si>
    <t>&lt;p&gt;&lt;b&gt;Benefits to India&lt;/b&gt;&lt;/p&gt;
&lt;li&gt;&lt;b&gt;Labour Sector Boost&lt;/b&gt; Textiles, leather, footwear, carpets get zero-duty access — directly creates jobs in low-income worker segments.&lt;/li&gt;
&lt;li&gt;&lt;b&gt;MSME Global Integration&lt;/b&gt; Reduced barriers and regulatory certainty help small manufacturers enter New Zealand and Indo-Pacific value chains.&lt;/li&gt;
&lt;li&gt;&lt;b&gt;Pharma Market Opening&lt;/b&gt; Mutual recognition of inspections cuts approval time — India's USD 27 billion pharma export engine gains new market.&lt;/li&gt;
&lt;li&gt;&lt;b&gt;Talent Export Channel&lt;/b&gt; 5,000 TEE visas plus uncapped student mobility creates structured, legal pathway for India's skilled workforce abroad.&lt;/li&gt;
&lt;li&gt;&lt;b&gt;Soft Power via AYUSH&lt;/b&gt; Global recognition of Ayurveda, Yoga, Siddha — strengthens India's wellness diplomacy and cultural export.&lt;/li&gt;
&lt;li&gt;&lt;b&gt;Agricultural Knowledge Gain&lt;/b&gt; Centres of Excellence for horticulture bring world-class farming techniques to Indian apple and honey growers.&lt;/li&gt;
&lt;li&gt;&lt;b&gt;Investment Inflow Signal&lt;/b&gt; USD 20 billion commitment in renewables, infrastructure, startups — strengthens Make in India and Viksit Bharat goals.&lt;/li&gt;
&lt;li&gt;&lt;b&gt;GI Brand Protection&lt;/b&gt; Indian products like Darjeeling tea, Basmati, handicrafts can be formally protected in NZ market within 18 months.&lt;/li&gt;
&lt;li&gt;&lt;b&gt;Organic Export Growth&lt;/b&gt; Basmati, psyllium husk, flaxseeds gain traction via MRA — taps into NZ's premium organic consumer market.&lt;/li&gt;
&lt;p&gt;&lt;b&gt;Benefits to New Zealand&lt;/b&gt;&lt;/p&gt;
&lt;li&gt;&lt;b&gt;Premium Market Access&lt;/b&gt; NZ's sheep meat, wool, dairy (limited), kiwifruit, Manuka honey gain structured entry into 1.4 billion consumer market.&lt;/li&gt;
&lt;li&gt;&lt;b&gt;Indian Diaspora Leverage&lt;/b&gt; 230,000+ strong Indian diaspora in NZ strengthens people-to-people commerce, tourism, and remittance flows.&lt;/li&gt;
&lt;li&gt;&lt;b&gt;Indo-Pacific Strategic Weight&lt;/b&gt; Partnership with India — fastest-growing major economy — elevates NZ's geopolitical relevance in a multipolar world.&lt;/li&gt;
&lt;li&gt;&lt;b&gt;Diversified Trade Basket&lt;/b&gt; Reduces NZ's over-dependence on China trade — India provides strategic hedge in uncertain global trade environment.&lt;/li&gt;</t>
  </si>
  <si>
    <t>What are the risks and limitations of this FTA?</t>
  </si>
  <si>
    <t>&lt;li&gt;&lt;b&gt;Dairy Asymmetry Pressure&lt;/b&gt; NZ is world's top dairy exporter — exclusion protects India now, but long-term renegotiation pressure is inevitable.&lt;/li&gt;
&lt;li&gt;&lt;b&gt;Small Bilateral Base&lt;/b&gt; USD 1.3 billion merchandise trade is tiny — USD 20 billion investment target looks ambitious without binding enforcement.&lt;/li&gt;
&lt;li&gt;&lt;b&gt;MSME Awareness &amp;amp;  Integration Gap&lt;/b&gt; Most Indian MSMEs lack export readiness, FTA knowledge, and logistics capacity — benefits won't auto-reach ground level.India's supply chains lack the scale and quality standardisation needed to fully capitalise on zero-duty NZ access.&lt;/li&gt;
&lt;li&gt;&lt;b&gt;Rules of Origin Risk&lt;/b&gt; Goods from third countries routed via NZ to exploit zero-duty access — circumvention risk without robust monitoring.&lt;/li&gt;
&lt;li&gt;&lt;b&gt;Apple Grower Vulnerability&lt;/b&gt; Himachal Pradesh and Uttarakhand apple farmers face import competition — livelihoods at risk despite safeguards.&lt;/li&gt;
&lt;li&gt;&lt;b&gt;Phytosanitary Barriers Remain&lt;/b&gt; Non-tariff barriers — strict SPS standards, labelling norms, quality certifications — can neutralise tariff gains for agri exporters.&lt;/li&gt;
&lt;li&gt;&lt;b&gt;Geopolitical Fragility&lt;/b&gt; NZ's Five Eyes membership and China ties create strategic unpredictability — trade relationship vulnerable to external pressures.&lt;/li&gt;</t>
  </si>
  <si>
    <t>Pakistan as Mediator between US &amp; Iran</t>
  </si>
  <si>
    <t>Pakistan, Israel War, Iran</t>
  </si>
  <si>
    <t>&lt;p&gt;India's strategic silence during major geopolitical events — Gaza, Iran, Ukraine — has been defended as strategic autonomy but criticised as diplomatic marginalisation. Critically analyse.&lt;/p&gt;</t>
  </si>
  <si>
    <t>&lt;li&gt;&lt;b&gt;Operation Sindoor Context&lt;/b&gt; India's May 2025 precision strikes on terror infrastructure in Pakistan — diplomatically framed as counterterrorism &lt;/li&gt;
&lt;li&gt;India's defence budget USD 86 billion vs Pakistan's USD 10 billion (2024) — India's military superiority remains structurally unchallenged despite perception shifts.&lt;/li&gt;
&lt;li&gt;Over 8.9 million Indians in Gulf countries — largest diaspora group in UAE and Saudi Arabia — remittances exceeding USD 40 billion annually.&lt;/li&gt;
&lt;li&gt;&lt;b&gt;Oman's Precedent as Mediator&lt;/b&gt; Oman has historically served as US-Iran back channel — Pakistan's mediation role mirrors Oman's model, showing small-to-mid powers can punch above weight through strategic positioning, not hard power.&lt;/li&gt;
&lt;li&gt;Soft power — ability to attract and co-opt rather than coerce — coined by Joseph Nye (1990) — India's civilisational depth, democracy, and diaspora are classic soft power assets currently being underleveraged.&lt;/li&gt;</t>
  </si>
  <si>
    <t>As the US pushes to bring its war with Iran to an end, Pakistan has emerged as a key mediator, passing messages between Iran and USA and hosting regional powers seeking to deescalate the conflict.
Pakistan’s enhanced diplomatic visibility has earned public praise from President Trump and Gulf partners. Meanwhile, India's strategic silence on Trump, Israel, and major geopolitical events has contributed to a perception of marginalisation. It is argued that India — despite its hard power advantage — is sliding toward middle-power behaviour, while Pakistan is punching above its weight diplomatically.</t>
  </si>
  <si>
    <t>What factors pushed Pakistan to emerge as a mediator in this war?</t>
  </si>
  <si>
    <t>&lt;li&gt;&lt;b&gt;Geographic Strategic Position&lt;/b&gt; Pakistan shares 900 km border with Iran — physical proximity made it a natural communication channel between warring sides.&lt;/li&gt;
&lt;li&gt;&lt;b&gt;Revived US Partnership&lt;/b&gt; Trump administration's re-engagement with Pakistan as counterterrorism partner gave Islamabad an opportunity to emerge as the mediator. US recognition of Pakistan's role against al-Qaeda and ISIS gave Pakistan the useful optics for mediator status.&lt;/li&gt;
&lt;li&gt;&lt;b&gt;Gulf Alignment Advantage&lt;/b&gt; Deep defence partnerships with Saudi Arabia and Qatar — both influential in Iran diplomacy — gave Pakistan back-channel access unavailable to Western powers.&lt;/li&gt;
&lt;li&gt;&lt;b&gt;China Connection Leverage&lt;/b&gt; Pakistan's proximity to China, Iran's principal economic partner, made it useful to both sides seeking indirect communication with China.&lt;/li&gt;
&lt;li&gt;&lt;b&gt;Army's Foreign Policy Control&lt;/b&gt; Field Marshal Asim Munir's direct acknowledgement by Trump signals Pakistan Army's dominance over foreign policy — enabling quick, decisive diplomatic commitments.&lt;/li&gt;
&lt;li&gt;&lt;b&gt;Diplomatic Vacuum Exploitation&lt;/b&gt; With traditional mediators — EU, Turkey, Oman — either exhausted or sidelined, Pakistan stepped into a genuine structural vacuum at the right moment.&lt;/li&gt;
&lt;li&gt;&lt;b&gt;Post-Operation Sindoor Redemption&lt;/b&gt; Pakistan actively sought international visibility after Sindoor to reframe its global image — mediation offered a high-profile legitimacy reset.&lt;/li&gt;</t>
  </si>
  <si>
    <t>With Pakistan diplomatic standing increasing due to the mediation role, analyse its implications on India.</t>
  </si>
  <si>
    <t>&lt;li&gt;&lt;b&gt;Terrorism Narrative Undermined&lt;/b&gt; India's campaign to isolate Pakistan as terror sponsor loses credibility when US publicly praises Pakistan as a responsible mediator.&lt;/li&gt;
&lt;li&gt;&lt;b&gt;Operation Sindoor Gains Diluted&lt;/b&gt; Pakistan's diplomatic momentum post-Sindoor reframes the narrative — from terror-linked state to regional peacemaker — neutralising India's strategic messaging.&lt;/li&gt;
&lt;li&gt;&lt;b&gt;US Partnership Questioned &lt;/b&gt;Pakistan's rising relevance with Trump administration reduces India's exclusivity as America's preferred South Asian partner — complicates defence and technology deals.&lt;/li&gt;
&lt;li&gt;&lt;b&gt;Gulf Relationships Contested&lt;/b&gt; Pakistan's deepening Saudi and Qatar security partnerships challenge India's carefully cultivated Gulf diplomacy built over decades of diaspora and energy ties.&lt;/li&gt;
&lt;li&gt;&lt;b&gt;Regional Credibility Challenge&lt;/b&gt; Smaller South Asian neighbours — Nepal, Bangladesh, Sri Lanka — observing Pakistan's rise may recalibrate their hedging strategies away from India.&lt;/li&gt;
&lt;li&gt;&lt;b&gt;Economic Ranking Decline&lt;/b&gt; India slipping from 4th to 6th largest economy perception — combined with Pakistan's diplomatic rise — compounds the narrative of India losing relative ground.&lt;/li&gt;
&lt;li&gt;&lt;b&gt;Hard Power Cushion Remains&lt;/b&gt; Despite diplomatic optics, India's military capability, USD 3.5 trillion economy, and demographic scale remain vastly superior — Pakistan's gains are perceptional, not structural.&lt;/li&gt;</t>
  </si>
  <si>
    <t>What foreign policy recalibrations does India need to arrest its perceived diplomatic marginalisation?</t>
  </si>
  <si>
    <t>&lt;li&gt;&lt;b&gt;Reclaim Strategic Voice&lt;/b&gt; India must articulate clear positions on major global conflicts — silence on Gaza, Iran, Ukraine reads as absence, not neutrality, in today's multipolar world.&lt;/li&gt;
&lt;li&gt;&lt;b&gt;Diversify Defence Dependency&lt;/b&gt; Over-reliance on Russian and US defence platforms constrains India's foreign policy freedom — accelerating indigenous defence production reduces strategic dependence.&lt;/li&gt;
&lt;li&gt;&lt;b&gt;Activate Neighbourhood First&lt;/b&gt; Losing Bangladesh, Nepal, and Sri Lanka to China-Pakistan influence is India's most immediate vulnerability — sustained economic and connectivity investment is non-negotiable.&lt;/li&gt;
&lt;li&gt;&lt;b&gt;Reposition Global South Leadership&lt;/b&gt; India must move beyond rhetoric and deliver tangible outcomes — debt relief, technology transfer, climate finance — to solidify its Global South leadership credential.&lt;/li&gt;
&lt;li&gt;&lt;b&gt;Reinvigorate Gulf Diplomacy&lt;/b&gt; India must deepen state-level strategic partnerships with Saudi Arabia, UAE, and Qatar — not just diaspora and energy ties — to counter Pakistan's security inroads.&lt;/li&gt;
&lt;li&gt;&lt;b&gt;Upgrade Soft Power Infrastructure&lt;/b&gt; AYUSH, Yoga, Bollywood, and diaspora are underleveraged assets — dedicated institutional frameworks like a strengthened Indian Cultural Relations Council can amplify reach.&lt;/li&gt;
&lt;li&gt;&lt;b&gt;Strengthen Economic Fundamentals&lt;/b&gt; Diplomatic credibility ultimately rests on economic weight — India must urgently accelerate manufacturing, export growth, and infrastructure to reclaim its 4th largest economy position.&lt;/li&gt;
&lt;li&gt;&lt;b&gt;Develop Mediation Capital&lt;/b&gt; India has never seriously invested in conflict mediation as a foreign policy tool — building this capability would restore its non-alignment brand and create new diplomatic leverage.&lt;/li&gt;
&lt;li&gt;&lt;b&gt;Leverage Civilisational Soft Power&lt;/b&gt; India's philosophical traditions, democratic credentials, and civilisational depth are globally respected assets — packaging these systematically can rebuild the narrative of India as a responsible rising power.&lt;/li&gt;</t>
  </si>
  <si>
    <t>UAE Exits OPEC</t>
  </si>
  <si>
    <t>OPEC, Israel-Iran Crisis, Oil Supply</t>
  </si>
  <si>
    <t>&lt;p&gt;"OPEC's declining market share and UAE's exit signal not just organisational fracture but a fundamental restructuring of global energy geopolitics." Critically examine how the rise of US shale, Gulf political divergences, and the Hormuz crisis together are reshaping the global oil order.&lt;/p&gt;</t>
  </si>
  <si>
    <t>&lt;li&gt;&lt;b&gt;US Shale Dominance&lt;/b&gt; US produces 13.6 million barrels per day — world's largest producer — surpassed Saudi Arabia in 2018 &lt;/li&gt;
&lt;li&gt;Strait of Hormuz — just 33 km wide at narrowest — handles approximately 20% of global oil trade and 25% of global LNG trade daily — single most critical energy chokepoint globally.&lt;/li&gt;
&lt;li&gt;Habshan-Fujairah pipeline capacity: 1.5 million barrels per day — allows UAE to export crude bypassing Hormuz entirely — strategic infrastructure that makes UAE's OPEC exit economically viable.&lt;/li&gt;
&lt;li&gt;&lt;b&gt;1973 Oil Embargo Lesson&lt;/b&gt; Arab Oil Embargo caused 400% price spike in 3 months — triggered stagflation globally&lt;/li&gt;
&lt;li&gt;&lt;b&gt;Abraham Accords 2020&lt;/b&gt; UAE-Israel normalisation signed September 2020 — first Gulf state after Egypt (1979) and Jordan (1994) to normalise with Israel&lt;/li&gt;
&lt;li&gt;&lt;b&gt;India-UAE CEPA Leverage&lt;/b&gt; India-UAE CEPA signed 2022 — bilateral trade target USD 100 billion&lt;/li&gt;</t>
  </si>
  <si>
    <t>The UAE — OPEC's fourth-largest producer at 3.12 million barrels per day — has withdrawn from OPEC and OPEC+, ending a 58-year membership.</t>
  </si>
  <si>
    <t>What is OPEC and what does it do?</t>
  </si>
  <si>
    <t>&lt;li&gt;&lt;b&gt;The Organization of the Petroleum Exporting Countries (OPEC) &lt;/b&gt;is a permanent inter-governmental organisation founded in 1960&lt;b&gt; &lt;/b&gt;by Iraq, Iran, Kuwait, Saudi Arabia, Venezuela — headquartered in Vienna, Austria to coordinate petroleum production and pricing among member states in order to secure fair and stable prices for petroleum producers.&lt;/li&gt;
&lt;li&gt;&lt;b&gt;Current Membership&lt;/b&gt; 12 member countries post-UAE exit — Saudi Arabia, Iraq, Iran, Kuwait, UAE (now exited), Venezuela, Libya, Algeria, Gabon, Congo, Equatorial Guinea, Nigeria.&lt;/li&gt;
&lt;li&gt;&lt;b&gt;Production Quota System&lt;/b&gt; Assigns each member a production ceiling — collective discipline keeps global supply controlled and prices elevated. It is therefore a classic &lt;b&gt;economic cartel &lt;/b&gt;controlling collective output&lt;/li&gt;
&lt;li&gt;&lt;b&gt;Pricing Power Mechanism&lt;/b&gt; Controls roughly 36.7% of global crude supply (2025) — historically used this share to move global oil prices significantly. However, OPEC's share has fallen from over 50% in 1970s to 36.7% in 2025 — the US shale revolution fundamentally eroded its pricing monopoly.&lt;/li&gt;
&lt;li&gt;&lt;b&gt;Shock Weapon History&lt;/b&gt; 1973 Arab Oil Embargo — OPEC's most consequential action — triggered global recession, reshaped energy policy in importing nations permanently.&lt;/li&gt;
&lt;li&gt;&lt;b&gt;Saudi Arabia's Dominance&lt;/b&gt; Produces nearly 10 million barrels per day — acts as swing producer, adjusting output to stabilise or raise prices as a strategic tool.&lt;/li&gt;
&lt;li&gt;&lt;b&gt;OPEC+ &lt;/b&gt;Facing a surge in U.S. shale production, OPEC joined forces with 10 non-OPEC countries (including Russia and Kazakhstan) to form OPEC+, creating a broader alliance to manage global supply.&lt;/li&gt;</t>
  </si>
  <si>
    <t>What are the key reasons behind UAE's exit from OPEC?</t>
  </si>
  <si>
    <t>&lt;li&gt;&lt;b&gt;Production Cap Frustration&lt;/b&gt; UAE has significant spare capacity but Saudi-dominated quotas prevent it from monetising this — losing revenue daily under artificial constraints. UAE can potentially add 1 million barrels per day beyond current output — OPEC membership makes this impossible without cartel-wide approval.&lt;/li&gt;
&lt;li&gt;&lt;b&gt;Revenue Maximisation Logic&lt;/b&gt; Saudi Arabia prioritises high prices over high volumes — UAE prefers high volumes for sustained revenue — fundamentally incompatible within OPEC.&lt;/li&gt;
&lt;li&gt;&lt;b&gt;Diversification Funding Need&lt;/b&gt; UAE intends to funnel oil revenues into AI infrastructure, tourism, and economic diversification — needs maximum export income now, not Saudi-paced moderation.&lt;/li&gt;
&lt;li&gt;&lt;b&gt;Iran Coordination Failure&lt;/b&gt; OPEC failed to present a unified response to Iran's missile and drone attacks on Gulf oil and military facilities — UAE felt the cartel offered no collective security value.&lt;/li&gt;
&lt;li&gt;&lt;b&gt;Saudi Policy Divergence&lt;/b&gt; UAE and Saudi Arabia differ sharply on Yemen and Sudan interventions — political fault lines within Gulf have spilled into energy policy disagreements.&lt;/li&gt;
&lt;li&gt;&lt;b&gt;Israel Alignment Motive&lt;/b&gt; UAE seeks deeper ties with Israel — normalised under Abraham Accords 2020 — OPEC's majority discomfort with Israel over Gaza creates internal friction for UAE.&lt;/li&gt;
&lt;li&gt;&lt;b&gt;US Alignment Calculation&lt;/b&gt; Trump has repeatedly pressed OPEC to pump more — UAE calculates that aligning with USA on production policy yields diplomatic and economic dividends.&lt;/li&gt;
&lt;li&gt;&lt;b&gt;Hormuz Bypass Infrastructure&lt;/b&gt; UAE's Habshan-Fujairah pipeline has capacity to bypass Strait of Hormuz — exit from OPEC allows UAE to fully leverage this strategic asset independently.&lt;/li&gt;
&lt;li&gt;&lt;b&gt;Structural OPEC Weakness&lt;/b&gt; With OPEC's global share at 36.7% and declining — UAE assessed the cartel's price-setting power as increasingly irrelevant against US oil dominance.&lt;/li&gt;</t>
  </si>
  <si>
    <t>What are the implications of UAE's OPEC exit?</t>
  </si>
  <si>
    <t>&lt;li&gt;&lt;b&gt;OPEC Credibility Weakened&lt;/b&gt; Losing fourth-largest producer signals cartel discipline is breaking down — other members with spare capacity may follow UAE's exit path.&lt;/li&gt;
&lt;li&gt;&lt;b&gt;Saudi Isolation Deepens&lt;/b&gt; UAE exit leaves Saudi Arabia more dominant but less legitimate — harder to enforce quota compliance without Gulf solidarity behind it.&lt;/li&gt;
&lt;li&gt;&lt;b&gt;Oil Price Volatility Ahead&lt;/b&gt; Once Hormuz crisis resolves, UAE flooding markets with extra million barrels daily will structurally suppress global oil prices long-term.&lt;/li&gt;
&lt;li&gt;&lt;b&gt;Abraham Accords Deepened&lt;/b&gt; UAE's exit removes a friction point with Israel — accelerates Gulf-Israel economic and security normalisation beyond what OPEC membership permitted.&lt;/li&gt;
&lt;li&gt;&lt;b&gt;New Producer Alliances Possible&lt;/b&gt; UAE may anchor an alternate grouping with US, non-OPEC producers, and like-minded Gulf states — creating a parallel energy coordination architecture outside OPEC.&lt;/li&gt;
&lt;p&gt;&lt;b&gt;Implications for India&lt;/b&gt;&lt;/p&gt;
&lt;li&gt;&lt;b&gt;Double Blockade Problem&lt;/b&gt; Both Hormuz closure and OPEC supply uncertainty hit India simultaneously — no single diplomatic solution addresses both disruptions together.&lt;/li&gt;
&lt;li&gt;&lt;b&gt;UAE Bilateral Opportunity&lt;/b&gt; Post-OPEC, UAE as an independent producer may offer India preferential long-term supply contracts — India-UAE CEPA provides a diplomatic foundation to negotiate this.&lt;/li&gt;
&lt;li&gt;&lt;b&gt;Cheaper Oil Long-Term&lt;/b&gt; UAE flooding markets post-crisis benefits India as a price-sensitive importer — lower global prices reduce India's import bill and current account pressure.&lt;/li&gt;
&lt;li&gt;&lt;b&gt;Diversification Imperative Reinforced&lt;/b&gt; India must accelerate oil imports from US, Canada, Brazil, Guyana — Gulf dependence is a structural vulnerability that needs diversification.&lt;/li&gt;</t>
  </si>
  <si>
    <t>80th round of Household Consumption Health Survey</t>
  </si>
  <si>
    <t>Health, NSO,</t>
  </si>
  <si>
    <t>&lt;p&gt;The NSO survey reveals that while the poor have nominal health coverage, the middle class faces rising catastrophic costs. Do you think India's healthcare reform strategy has been too focused on insurance and too little on building public hospital capacity? Justify with evidence.
India's disease burden is rapidly shifting from infectious to non-communicable diseases, while public health infrastructure remains underfunded and private sector dominance grows. Suggest a comprehensive next-generation healthcare reform framework addressing financing, infrastructure, workforce, and regulation.&lt;/p&gt;</t>
  </si>
  <si>
    <t>&lt;li&gt;&lt;b&gt;PMJAY Scale&lt;/b&gt; World's largest government-funded health insurance scheme — covers 55 crore beneficiaries — provides up to ₹5 lakh per family per year for secondary and tertiary hospitalisation.&lt;/li&gt;
&lt;li&gt;&lt;b&gt;OOPE Global Comparison&lt;/b&gt; India's out-of-pocket expenditure as share of total health expenditure stands at approximately 47% — global average is 18% — WHO recommends keeping OOPE below 15% to prevent financial hardship.&lt;/li&gt;
&lt;li&gt;&lt;b&gt;NCD Burden Data&lt;/b&gt; Non-communicable diseases account for 66% of deaths in India (WHO 2023) — diabetes affects 101 million Indians, hypertension affects 315 million&lt;/li&gt;
&lt;li&gt;&lt;b&gt;Doctor Density Gap&lt;/b&gt; India has 1 doctor per 834 population — WHO norm is 1 per 1,000 — rural areas far worse at approximately 1 per 2,500 — private sector absorbs 80% of qualified medical workforce.&lt;/li&gt;
&lt;li&gt;&lt;b&gt;Health Expenditure Benchmark&lt;/b&gt; India spends approximately 2.1% of GDP on health (2024) — WHO recommends minimum 5% — compared to Brazil at 9.9%, Thailand at 3.8%, and Sri Lanka at 4.1%.&lt;/li&gt;
&lt;li&gt;&lt;b&gt;Ayushman Bharat Architecture&lt;/b&gt; Two pillars — Health and Wellness Centres (now Ayushman Arogya Mandirs) for primary care, and PMJAY for hospitalisation insurance — AAM network targets 1.5 lakh centres nationally.&lt;/li&gt;</t>
  </si>
  <si>
    <t>80th round of the household consumption health survey was released by National Statistics Office on April 29th, 2026.</t>
  </si>
  <si>
    <t>What are the key highlights of the survey?</t>
  </si>
  <si>
    <t>&lt;p&gt;&lt;b&gt;Major Expansion in Health Insurance&lt;/b&gt;&lt;/p&gt;
&lt;li&gt;&lt;b&gt;Three-Fold Increase:&lt;/b&gt; The percentage of the population covered under government health finance/insurance schemes (like Ayushman Bharat PM-JAY) has seen a massive jump since the 75th round (2017–18).&lt;/li&gt;
&lt;li&gt;&lt;b&gt;Rural Coverage:&lt;/b&gt; Increased from &lt;b&gt;12.9% to 45.5%&lt;/b&gt;.&lt;/li&gt;
&lt;li&gt;&lt;b&gt;Urban Coverage:&lt;/b&gt; Increased from &lt;b&gt;8.9% to 31.8%&lt;/b&gt;.&lt;/li&gt;
&lt;p&gt;&lt;b&gt;Out-of-Pocket Medical Expenditure (OOPE)&lt;/b&gt;&lt;/p&gt;
&lt;li&gt;&lt;b&gt;Public vs. Private Divide:&lt;/b&gt; The median OOPE per hospitalization case overall was &lt;b&gt;₹11,285&lt;/b&gt;. However, for more than half of the hospitalizations in &lt;i&gt;public&lt;/i&gt; health facilities, the median expense was just &lt;b&gt;₹1,100&lt;/b&gt;.&lt;/li&gt;
&lt;li&gt;&lt;b&gt;Free Outpatient Care:&lt;/b&gt; The median OOPE for non-hospitalization (outpatient) care in public facilities is &lt;b&gt;zero&lt;/b&gt;, reflecting successful free drug and diagnostic initiatives.&lt;/li&gt;
&lt;p&gt;&lt;b&gt;Health-Seeking Behavior and Ailments&lt;/b&gt;&lt;/p&gt;
&lt;li&gt;&lt;b&gt;Proportion of Population Reporting Ailments (PPRA):&lt;/b&gt; The reporting of ailments nearly doubled (from 6.8% to &lt;b&gt;12.2%&lt;/b&gt; in rural areas, and 9.1% to &lt;b&gt;14.9%&lt;/b&gt; in urban areas). Experts attribute this to better health awareness, proactive screening, and improved detection.&lt;/li&gt;
&lt;li&gt;&lt;b&gt;Epidemiological Shift:&lt;/b&gt; The survey noted a distinct transition in India's disease burden—a notable decline in infectious diseases, replaced by a rising prevalence of non-communicable lifestyle diseases (NCDs) like diabetes and cardiovascular conditions.&lt;/li&gt;
&lt;p&gt;&lt;b&gt;The Persistence of Private Healthcare Reliance&lt;/b&gt;&lt;/p&gt;
&lt;li&gt;Despite massive investments in public health (including 1.84 lakh Ayushman Arogya Mandirs), a large majority of Indians still turn to the private sector for major treatments.&lt;/li&gt;
&lt;li&gt;Nearly &lt;b&gt;58% of hospitalizations in rural areas&lt;/b&gt; and &lt;b&gt;65% in urban areas&lt;/b&gt; occur in private facilities.&lt;/li&gt;
&lt;li&gt;Because private care is generally up to seven times more expensive than public care (e.g., the average childbirth cost in public hospitals is around ₹2,299 compared to an overall average of ₹14,775), structural financial inequities still persist.&lt;/li&gt;
&lt;p&gt;&lt;b&gt;Maternal and Child Health&lt;/b&gt;&lt;/p&gt;
&lt;li&gt;&lt;b&gt;Institutional Deliveries:&lt;/b&gt; Institutional births are nearing universal coverage, rising to &lt;b&gt;95.6%&lt;/b&gt; in rural areas and &lt;b&gt;97.8%&lt;/b&gt; in urban areas.&lt;/li&gt;
&lt;li&gt;&lt;b&gt;Public Preference for Childbirth:&lt;/b&gt; Nearly two-thirds (&lt;b&gt;66.8%&lt;/b&gt;) of all rural deliveries currently take place in government health facilities.&lt;/li&gt;</t>
  </si>
  <si>
    <t>What are the positive and negative healthcare trends identified by the survey?</t>
  </si>
  <si>
    <t>&lt;p&gt;[TABLE: Positives (Strengths) | Negatives (Challenges) / Insurance Surge: Coverage tripled in rural areas via government schemes. | Private Reliance: Most hospitalizations still occur in expensive private facilities. / Affordable Public Care: Median cost in public hospitals remains very low (₹1,100) | Cost Disparity: Private care remains roughly 7x more expensive than public care. / Safer Births: Institutional deliveries are now nearly universal (over 95%). | Rising NCDs: Increased burden of lifestyle diseases like diabetes and heart issues. / Proactive Screening: Higher reporting of ailments suggests better health awareness. | Financial Stress: High out-of-pocket costs still impact middle-income households due to private sector reliance. / Effective Schemes: Programs like Ayushman Arogya Mandirs have significantly lowered the cost of essential medicines and diagnostics. | Regional Imbalance: Significant gaps persist between states like Kerala (high reporting/infrastructure) and states like Bihar or UP.]&lt;/p&gt;</t>
  </si>
  <si>
    <t>What should the next phase of India's healthcare reform prioritise?</t>
  </si>
  <si>
    <t>&lt;li&gt;&lt;b&gt;Targeting the "Missing Middle":&lt;/b&gt; Expanding subsidized insurance to the 40 crore people who are neither poor enough for PM-JAY nor wealthy enough for private plans.&lt;/li&gt;
&lt;li&gt;&lt;b&gt;Focus on Geriatric Care:&lt;/b&gt; With the 60+ population reporting ailments at 4x the national average, specialized elderly care is now a priority.&lt;/li&gt;
&lt;li&gt;&lt;b&gt;Primary Care for NCDs:&lt;/b&gt; Shifting lifestyle disease management to the local level (Ayushman Arogya Mandirs) for early screening and free chronic medication.&lt;/li&gt;
&lt;li&gt;&lt;b&gt;Digital Health (ABDM):&lt;/b&gt; Full implementation of digital health records to prevent duplicate testing and improve treatment efficiency across hospitals.&lt;/li&gt;
&lt;li&gt;&lt;b&gt;Cost Regulation:&lt;/b&gt; Stricter price caps on essential drugs and medical implants to protect families from "medical poverty."&lt;/li&gt;
&lt;li&gt;&lt;b&gt;Catastrophic Cost Insurance&lt;/b&gt; A separate high-value cover for surgeries, cancer treatment, and chronic tertiary care must be layered above PMJAY — targeting the middle class facing rising catastrophic bills.&lt;/li&gt;
&lt;li&gt;&lt;b&gt;Medical Workforce Scaling: I&lt;/b&gt;ndia has 1 doctor per 834 people against WHO norm of 1 per 1,000 — public hospitals cannot compete with private sector without massive investment in medical education and retention.&lt;/li&gt;
&lt;li&gt;&lt;b&gt;State Capacity Building:&lt;/b&gt; Health is a state subject — Centre must create stronger fiscal incentives, technical support, and accountability frameworks to push lagging states toward Kerala and Tamil Nadu-level outcomes.&lt;/li&gt;</t>
  </si>
  <si>
    <t>India’s Push for E85 and E100 Fuels</t>
  </si>
  <si>
    <t>&lt;p&gt;"India's push toward E85 and E100 fuels is as much a geopolitical necessity as an environmental choice." In light of the above statement, critically examine whether ethanol blending can serve as a credible long-term energy security strategy.&lt;/p&gt;</t>
  </si>
  <si>
    <t>&lt;li&gt;&lt;b&gt;Brazil's Ethanol Success&lt;/b&gt; Brazil launched its ethanol programme in 1975 post-oil crisis — today 90%+ of vehicles are flex-fuel, ethanol meets 50% of automotive fuel needs — world's most successful ethanol economy and India's primary benchmark.&lt;/li&gt;
&lt;li&gt;&lt;b&gt;India's Blending Journey&lt;/b&gt; E5 achieved by 2019; E10 by 2022; E20 mandated April 2026 — National Biofuel Policy 2018 originally targeted E20 by 2030 — achieved four years ahead of schedule reflecting accelerated political will.&lt;/li&gt;
&lt;li&gt;&lt;b&gt;Second Generation Ethanol&lt;/b&gt; G20 declaration under India's presidency (2023) specifically endorsed second-generation ethanol from agricultural waste — India's IOCL has set up India's first 2G ethanol plant at Panipat using paddy straw.&lt;/li&gt;
&lt;li&gt;&lt;b&gt;Sugarcane Water Footprint&lt;/b&gt; Producing 1 litre of ethanol from sugarcane requires approximately 2,500 litres of water&lt;/li&gt;
&lt;li&gt;&lt;b&gt;Carbon Emission Benefit&lt;/b&gt; E100 reduces lifecycle CO2 emissions by approximately 70% compared to petrol — E85 reduces by approximately 60% — significant contribution toward India's NDC targets.&lt;/li&gt;</t>
  </si>
  <si>
    <t>India's Ministry of Road Transport has proposed recognising E85 and E100 as automotive fuels — a major leap from the E20 blend already mandated from April 2026.
E85 is a blend of 85% ethanol and 15% gasoline. E100 refers to fuel that is nearly 100% ethanol. Currently, all standard vehicles are only compatible with up to E20 fuel (20% Ethanol and 80% gasoline).
Ethanol is primarily produced by fermenting plant-based sugars and starches—Corn, sorghum, sugar cane, sugar beets, or cellulosic biomass (wood/grass) are commonly used. The process involved using yeast to convert carbohydrates into alcohol i.e.  grinding feedstocks, adding enzymes to convert starches into fermentable sugars, fermenting for 40–80 hours, and distilling to achieve 99%+ purity.</t>
  </si>
  <si>
    <t>What is the case for India's push toward E85 and E100 fuels?</t>
  </si>
  <si>
    <t>&lt;li&gt;&lt;b&gt;Energy Security Imperative&lt;/b&gt; India imports 88% of crude oil — E85/E100 directly reduces this dependence, insulating the economy from supply shocks.&lt;/li&gt;
&lt;li&gt;&lt;b&gt;Ethanol Cheaper Than Petrol&lt;/b&gt; Ethanol costs ₹60-71 per litre vs petrol's break-even of ₹89 per litre  — domestic fuel is structurally cheaper than imported crude-refined petrol (as of April 2026 prices)&lt;/li&gt;
&lt;li&gt;&lt;b&gt;Forex Savings&lt;/b&gt; India spends over USD 130 billion annually on crude imports — every percentage point of ethanol substitution translates into billions in foreign exchange savings.&lt;/li&gt;
&lt;li&gt;&lt;b&gt;Farmer Income Boost&lt;/b&gt; Sugarcane, maize, and rice farmers gain a guaranteed industrial demand channel for their produce. It also improves the utilization of India's 20-billion-litre ethanol production capacity&lt;/li&gt;
&lt;li&gt;&lt;b&gt;Carbon Emission Reduction&lt;/b&gt; Higher ethanol blends reduce particulate matter, carbon monoxide, and unburnt hydrocarbon emissions. Therefore, ethanol burns cleaner than petrol supporting India's net-zero 2070 commitment tangibly.&lt;/li&gt;
&lt;li&gt;&lt;b&gt;E20 Foundation Exists&lt;/b&gt; India already achieved E20 mandate from April 2026 — supply chains, blending infrastructure, and OMC systems are partially ready for scaling upward.&lt;/li&gt;
&lt;li&gt;&lt;b&gt;Flex-Fuel Global Precedent&lt;/b&gt; Brazil runs 90%+ of its vehicles on flex-fuel — proven technology exists — India need not reinvent but adapt and scale a validated model.&lt;/li&gt;
&lt;li&gt;&lt;b&gt;Rural Employment Generation&lt;/b&gt; Ethanol distillery expansion creates processing jobs in rural sugarcane and maize belts — direct employment multiplier in agrarian economies.&lt;/li&gt;</t>
  </si>
  <si>
    <t>What are the challenges in scaling the usage of E85 and E100 fuels?</t>
  </si>
  <si>
    <t>&lt;li&gt;&lt;b&gt;Engine Compatibility Gap&lt;/b&gt; E85/E100 requires major internal combustion engine changes. Manufacturers must redesign engines, retool production lines, and recertify vehicles — significant capital burden especially for smaller domestic automakers.&lt;/li&gt;
&lt;li&gt;&lt;b&gt;Corrosion Technical Problem&lt;/b&gt; Ethanol is hygroscopic — absorbs atmospheric moisture — causes corrosion in engine components not designed for high blends.&lt;/li&gt;
&lt;li&gt;&lt;b&gt;Fuel Station Infrastructure&lt;/b&gt; Separate dispensing units needed for E85 and E100 at every fuel station — capital investment required across 80,000+ retail outlets nationally is enormous.&lt;/li&gt;
&lt;li&gt;&lt;b&gt;Feedstock Supply Constraint&lt;/b&gt; Scaling to E85 nationally requires massive ethanol volumes and requires tripling or quadrupling distillation capacity with significant new investment and time.&lt;/li&gt;
&lt;li&gt;&lt;b&gt;Food vs Fuel Conflict&lt;/b&gt; Diverting sugarcane, maize, and rice to ethanol at scale risks pushing up food prices — particularly dangerous for India's poor and food security commitments.&lt;/li&gt;
&lt;li&gt;&lt;b&gt;Water Intensive Crops&lt;/b&gt; Sugarcane requires approximately 1,500-2,000 litres of water per kg — large-scale ethanol expansion in water-stressed regions like Maharashtra and Karnataka is environmentally unsustainable.&lt;/li&gt;
&lt;li&gt;&lt;b&gt;Regional Availability Disparity&lt;/b&gt; Ethanol production concentrated in UP, Maharashtra, Karnataka — northern and northeastern states face supply logistics challenges for consistent E85 availability.&lt;/li&gt;
&lt;li&gt;&lt;b&gt;Cold Start Performance&lt;/b&gt; High ethanol blends perform poorly in cold temperatures — starting vehicles in Himalayan states and North India winters becomes technically problematic without engine modifications.&lt;/li&gt;
&lt;li&gt;&lt;b&gt;Consumer Awareness Gap&lt;/b&gt; Most Indian vehicle owners unaware of fuel compatibility requirements — misfuelling E85 in non-flex vehicles causes serious engine damage — public education challenge is enormous.&lt;/li&gt;
&lt;li&gt;&lt;b&gt;Price Stability Risk&lt;/b&gt; Ethanol prices linked to sugarcane procurement prices set by government — any policy shift, drought, or crop failure can destabilise ethanol supply and pricing overnight.&lt;/li&gt;</t>
  </si>
  <si>
    <t>What policy framework is needed to ensure India's flex-fuel transition is equitable, sustainable, and economically viable?</t>
  </si>
  <si>
    <t>&lt;li&gt;&lt;b&gt;Phased Rollout Strategy&lt;/b&gt; Begin E85 mandate in sugarcane-rich states — UP, Maharashtra, Karnataka — before national rollout — builds supply confidence before scaling infrastructure investment.&lt;/li&gt;
&lt;li&gt;&lt;b&gt;Flex-Fuel Vehicle Mandate&lt;/b&gt; Government must set a deadline for all new vehicles to be flex-fuel compatible — without regulatory compulsion, automakers will delay transition citing investment uncertainty.&lt;/li&gt;
&lt;li&gt;&lt;b&gt;Production-Linked Incentives&lt;/b&gt; Extend PLI scheme to flex-fuel engine components and distillery capacity expansion — reduce upfront capital burden on manufacturers and ethanol producers simultaneously.&lt;/li&gt;
&lt;li&gt;&lt;b&gt;Fuel Station Upgrade Subsidy&lt;/b&gt; Central and state governments must co-fund separate E85/E100 dispensing units — leaving this entirely to private investment will create severe urban-rural access disparity.&lt;/li&gt;
&lt;li&gt;&lt;b&gt;Feedstock Diversification Push&lt;/b&gt; Reduce dependence on sugarcane — accelerate second-generation ethanol from agricultural waste, bamboo, and cellulosic biomass — protects food security while expanding supply.&lt;/li&gt;
&lt;li&gt;&lt;b&gt;Water-Use Regulation&lt;/b&gt; Mandate water-efficient sugarcane varieties and drip irrigation for ethanol feedstock cultivation — link ethanol procurement approvals to water sustainability compliance by distilleries.&lt;/li&gt;
&lt;li&gt;&lt;b&gt;Consumer Awareness Campaign&lt;/b&gt; Nationwide campaign through OMCs, auto dealers, and digital platforms — educating vehicle owners on flex-fuel compatibility, misfuelling risks, and economic benefits of E85.&lt;/li&gt;
&lt;li&gt;&lt;b&gt;Second Generation Ethanol R&amp;amp;D&lt;/b&gt; Dedicated research funding for cellulosic ethanol from crop residue — converts stubble burning problem into fuel feedstock — solves two crises simultaneously.&lt;/li&gt;
&lt;li&gt;&lt;b&gt;Interstate Supply Grid&lt;/b&gt; National ethanol pipeline and logistics network connecting surplus producing states to deficit consuming states — prevents regional availability gaps from undermining national mandate.&lt;/li&gt;</t>
  </si>
  <si>
    <t>Abortion &amp; Supreme Court</t>
  </si>
  <si>
    <t>GS-4: Ethics</t>
  </si>
  <si>
    <t>Abortion, Supreme Court, Ethics, Life, Reproductive Autonomy</t>
  </si>
  <si>
    <t>&lt;li&gt;US Supreme Court overturned Roe v. Wade in June 2022 — eliminated federal constitutional protection for abortion — triggered global debate on reproductive rights — India's progressive 2022 judgment came the same year as a notable counter-narrative.&lt;/li&gt;
&lt;li&gt;&lt;b&gt;WHO Unsafe Abortion Data&lt;/b&gt; Approximately 45% of all abortions globally are unsafe — unsafe abortions cause approximately 13% of maternal deaths worldwide &lt;/li&gt;
&lt;li&gt;&lt;b&gt;India's Abortion Reality&lt;/b&gt; Approximately 15.6 million abortions occur annually in India — only 22% performed in health facilities &lt;/li&gt;
&lt;li&gt;&lt;b&gt;Canada's Rights-Based Model&lt;/b&gt; Canada has no abortion law since 1988 R v. Morgentaler judgment — abortion treated purely as medical procedure — no gestational limits, no mandatory approvals — cited globally as gold standard for rights-based framework.&lt;/li&gt;</t>
  </si>
  <si>
    <t>The Supreme Court has reaffirmed reproductive autonomy as a fundamental right by allowing a 15-year-old rape survivor to terminate her 30-week pregnancy, dismissing AIIMS's objection to the decision.</t>
  </si>
  <si>
    <t>What are the ethical arguments in favour of abortion?</t>
  </si>
  <si>
    <t>&lt;li&gt;&lt;b&gt;Bodily Autonomy Principle&lt;/b&gt; No woman can be compelled to use their body to sustain another life — foundational to personal liberty in all democratic constitutional frameworks.&lt;/li&gt;
&lt;li&gt;&lt;b&gt;Dignity and Self-Determination&lt;/b&gt; Forcing an unwanted pregnancy violates human dignity — Supreme Court explicitly affirmed "unwanted pregnancies cannot be burdened on the woman."&lt;/li&gt;
&lt;li&gt;&lt;b&gt;Rape and Coercion Cases&lt;/b&gt; Compelling a survivor to carry a pregnancy resulting from violence compounds trauma — denying abortion is a second violation of the same body.&lt;/li&gt;
&lt;li&gt;&lt;b&gt;Mental Health Imperative&lt;/b&gt; Unwanted pregnancy causes severe psychological distress — mental health is explicitly recognised as valid ground for termination.&lt;/li&gt;
&lt;li&gt;&lt;b&gt;Child Welfare Argument&lt;/b&gt; A child born into conditions of rejection, poverty, or abuse faces profound suffering — abortion can prevent a life of deprivation and neglect.&lt;/li&gt;
&lt;li&gt;&lt;b&gt;Foetal Abnormality Compassion&lt;/b&gt; Continuing a pregnancy with severe foetal abnormalities incompatible with life inflicts prolonged suffering on both mother and eventual child — termination is an act of compassion.&lt;/li&gt;
&lt;li&gt;&lt;b&gt;Socioeconomic Justice&lt;/b&gt; Poor women disproportionately bear the burden of unwanted pregnancies — access to abortion is inseparable from economic equality and gender justice.&lt;/li&gt;</t>
  </si>
  <si>
    <t>What are some of the ethics concerns regarding abortion?</t>
  </si>
  <si>
    <t>&lt;li&gt;&lt;b&gt;Foetal Right to Life&lt;/b&gt; From conception, a developing human organism possesses unique genetic identity — many ethical traditions argue this confers an inherent right to life deserving protection.&lt;/li&gt;
&lt;li&gt;&lt;b&gt;Slippery Slope Concern&lt;/b&gt; Unrestricted abortion rights may progressively normalise termination for non-medical reasons — sex selection, disability, or convenience — undermining the sanctity of life principle.&lt;/li&gt;
&lt;li&gt;&lt;b&gt;Medical Professional Conscience&lt;/b&gt; Doctors and nurses hold deeply personal moral views — compelling medical professionals to perform abortions against conscience violates their own autonomy and dignity.&lt;/li&gt;
&lt;li&gt;&lt;b&gt;Disability Rights Perspective&lt;/b&gt; Aborting foetuses diagnosed with disabilities signals that disabled lives are less valuable — this reinforces societal discrimination against differently-abled persons.&lt;/li&gt;
&lt;li&gt;&lt;b&gt;Paternal Rights Question&lt;/b&gt; Biological father has no legal standing in India's legislative framework — some ethical traditions argue co-creators of life deserve a voice in decisions about termination.&lt;/li&gt;
&lt;li&gt;&lt;b&gt;Commodification Risk&lt;/b&gt; Unrestricted access without counselling support may reduce pregnancy to a purely transactional decision — ethics demands informed deliberation, not impulsive termination.&lt;/li&gt;</t>
  </si>
  <si>
    <t>Trace the evolution of abortion rights in India through the MTP Act 1971, its 2021 amendment, and key Supreme Court judgments.</t>
  </si>
  <si>
    <t>&lt;li&gt;&lt;b&gt;Pre-1971 Criminal Framework&lt;/b&gt; Abortion was governed by Section 312 of IPC 1860 — punishable with imprisonment — no legal protection for women seeking safe termination.&lt;/li&gt;
&lt;li&gt;&lt;b&gt;MTP Act 1971 — Foundation&lt;/b&gt; Landmark legislation legalising abortion under specific conditions — recognised danger of unsafe underground abortions — allowed termination up to 20 weeks with doctor's approval.&lt;/li&gt;
&lt;li&gt;&lt;b&gt;Doctor-Centric Original Design&lt;/b&gt; 1971 Act required one registered medical practitioner's opinion up to 12 weeks, two opinions between 12-20 weeks — &lt;b&gt;structured as medical permission, not woman's right.&lt;/b&gt;&lt;/li&gt;
&lt;li&gt;&lt;b&gt;Narrow Original Grounds&lt;/b&gt; Termination permitted only for risk to mother's life, physical/mental health, contraceptive failure, rape, or foetal abnormality — no recognition of unconditional reproductive autonomy.&lt;/li&gt;
&lt;li&gt;&lt;b&gt;2021 Amendment — Expanded Limits&lt;/b&gt; Gestational limit extended to 24 weeks for specific vulnerable categories — rape survivors, minors, differently-abled women, mentally ill women, and those whose marital status changed during pregnancy.&lt;/li&gt;
&lt;li&gt;&lt;b&gt;Medical Board Requirement&lt;/b&gt; 2021 amendment introduced State-level Medical Boards for pregnancies beyond 24 weeks with foetal abnormalities — institutional safeguard but also an additional procedural barrier.&lt;/li&gt;
&lt;li&gt;&lt;b&gt;X vs Principal Secretary 2022 — Landmark&lt;/b&gt; Supreme Court extended MTP Act's benefits to unmarried women — held that restricting abortion rights to married women was unconstitutional — explicitly recognised reproductive autonomy as fundamental right. Justice D.Y. Chandrachud held that forced pregnancy violates dignity — framed reproductive choice within Articles 14, 19, and 21 — most progressive judicial statement on abortion rights in Indian history.The verdict noted that for the purposes of the MTP Act, sexual assault or rape includes "marital rape".&lt;/li&gt;
&lt;li&gt;&lt;b&gt;October 2023 Regression&lt;/b&gt; Supreme Court denied termination of 26-week pregnancy — privileged foetal viability over woman's choice — contradicted the progressive trajectory of X vs Principal Secretary — created judicial inconsistency.&lt;/li&gt;
&lt;li&gt;&lt;b&gt;2024 Minor Rape Case — Reaffirmation&lt;/b&gt; Supreme Court allowed 15-year-old rape survivor's 30-week termination — dismissed AIIMS objections — reaffirmed dignity and bodily integrity over medical paternalism — partial course correction.&lt;/li&gt;
&lt;p&gt;&lt;b&gt;Persistent Structural Gap&lt;/b&gt; &lt;/p&gt;
&lt;li&gt;MTP Act remains structured as conditional permission not enforceable right.&lt;/li&gt;
&lt;li&gt;Abortion rights remain vulnerable to judicial interpretation rather than guaranteed by statute.&lt;/li&gt;
&lt;li&gt;Despite MTP Act, BNS Section 88 under Bharatiya Nyaya Sanhita 2023 — abortion rights still exist as exception to criminal law, not as standalone right.&lt;/li&gt;
&lt;li&gt;India has severe shortage of trained abortion providers — MTP Act requires registered medical practitioners — rural areas served primarily by AYUSH practitioners who cannot legally perform terminations &lt;/li&gt;</t>
  </si>
  <si>
    <t>India's largest AI hub near Visakhapatnam: Are we missing something?</t>
  </si>
  <si>
    <t>&lt;p&gt;Nandan Nilekani argues that India's AI strength lies in diffusing artificial intelligence across its small firms and informal economy, while critics warn this is an alibi for frontier capability failure. Do you think AI diffusion is a sufficient national AI strategy for India, or must India compete at the frontier? Justify your position.&lt;/p&gt;</t>
  </si>
  <si>
    <t>&lt;li&gt;India spends 0.64% of GDP on R&amp;amp;D (2024) — China spends 2.4%, South Korea 4.9%, Israel 5.4%, US 3.4% &lt;/li&gt;
&lt;li&gt;India hosts 2% of global AI training-data startups — US leads at 40%, EU at 21% — reflects absence of deep-tech venture capital, research university ecosystem, and state-aligned industrial finance in India.&lt;/li&gt;
&lt;li&gt;France launched a €109 billion AI investment plan in 2025 — includes sovereign compute infrastructure, national AI research agency, and mandatory capability transfer conditions on foreign AI investments&lt;/li&gt;
&lt;li&gt;Approximately 1.3 million Indian-born professionals work in US technology sector — disproportionate share in AI, machine learning, and semiconductor design — India trains the talent, America captures the output&lt;/li&gt;</t>
  </si>
  <si>
    <t>In May 2026, on a 600-acre site near Visakhapatnam, Google broke ground on what is being dubbed as India’s largest AI hub. This project with Adani and Airtel as partners — signals massive foreign investment in India's AI infrastructure. However, there is a serious warning: India risks becoming a permanent tenant of foreign intelligence rather than a producer of its own.</t>
  </si>
  <si>
    <t>Why has India failed to build frontier research capability despite three decades of IT success?</t>
  </si>
  <si>
    <t>&lt;li&gt;&lt;b&gt;Outsourcing Trap Mentality&lt;/b&gt; IT boom rewarded deployment of others' systems, not original design. Infosys, Wipro, TCS became enormously profitable without original research — proved you could build billion-dollar companies by deploying intelligence, not creating it.&lt;/li&gt;
&lt;li&gt;&lt;b&gt;Proceeds Not Reinvested&lt;/b&gt; IT boom generated enormous private wealth — none systematically channelled into research endowments, national laboratories, or frontier technology funds — profits privatised, capability building deferred.&lt;/li&gt;
&lt;li&gt;&lt;b&gt;R&amp;amp;D Spending Stagnation&lt;/b&gt; India's R&amp;amp;D intensity remains below 1% of GDP for decades — China spends 2.4%, South Korea 4.9%, Israel 5.4%. India has no globally ranked research university in technology — IITs produce excellent engineers but lack the research funding, faculty density, and PhD pipeline of MIT or Stanford.&lt;/li&gt;
&lt;li&gt;&lt;b&gt;Brain Drain Haemorrhage&lt;/b&gt; India's best AI and engineering talent flows to US, UK, and Canada — trained at IITs, employed at Google, Meta, and OpenAI — capability built in India, captured abroad.&lt;/li&gt;
&lt;li&gt;&lt;b&gt;Venture Capital Shallowness&lt;/b&gt; India's VC ecosystem rewards quick-return consumer internet plays — deep-tech, semiconductors, and foundational AI research require patient decade-long capital India never built.&lt;/li&gt;
&lt;li&gt;&lt;b&gt;State Industrial Policy Absence&lt;/b&gt; Korea built Samsung, Taiwan built TSMC through deliberate state-aligned industrial finance — India built no equivalent national technology champion through strategic public investment.&lt;/li&gt;
&lt;li&gt;&lt;b&gt;Manufacturing Depth Missing&lt;/b&gt; Frontier AI requires semiconductor supply chains, specialised hardware, and precision manufacturing — India skipped manufacturing industrialisation, leaving no foundation for hardware-dependent AI development.&lt;/li&gt;
&lt;li&gt;&lt;b&gt;Short-Term Policy Horizons&lt;/b&gt; Building research universities, national labs, and deep-tech ecosystems requires 20-year commitments — India's policy cycles optimise for electoral timelines, not generational capability building.&lt;/li&gt;</t>
  </si>
  <si>
    <t>What does strategic autonomy mean in the age of AI, and how does India's current AI trajectory threaten it?</t>
  </si>
  <si>
    <t>&lt;li&gt;&lt;b&gt;Diffusion Without Production&lt;/b&gt; A country that only diffuses foreign AI becomes permanently dependent on foreign upgrade cycles, foreign safety decisions, and foreign model alignments — strategic autonomy requires the ability to train, modify, and control your own models.&lt;/li&gt;
&lt;li&gt;&lt;b&gt;1990s Trap Repeating&lt;/b&gt; IT services bargain gave India labour income but zero IP ownership — Vizag data centre gives India land and power revenue but Google retains AI-models, architecture, and intelligence entirely.&lt;/li&gt;
&lt;li&gt;&lt;b&gt;Stronger Lock-In This Time&lt;/b&gt; AI infrastructure lock-in is structural, decade-long, and deepens with every inference run on foreign models from Indian servers.&lt;/li&gt;
&lt;li&gt;&lt;b&gt;Recurring Rent Problem&lt;/b&gt; Every Indian-language query processed on Google's model from Vizag servers is a small payment to Google, USA— built on Adani's land, powered by Indian electricity, enriching American IP permanently.&lt;/li&gt;
&lt;li&gt;&lt;b&gt;Sovereignty Gap in Defence&lt;/b&gt; AI is rapidly integrating into military targeting, intelligence analysis, and strategic decision-making — dependence on foreign AI models in these domains is an existential strategic vulnerability, not merely an economic one.&lt;/li&gt;
&lt;li&gt;&lt;b&gt;Only 2% AI Startup Share&lt;/b&gt; India hosts 2% of global AI training-data startups against America's 40% and EU's 21% — this gap cannot be bridged through diffusion alone — production capacity is structurally absent.&lt;/li&gt;
&lt;li&gt;&lt;b&gt;Absence of Digital Infrastructure &lt;/b&gt;UPI worked because 30 years of banking digitisation existed underneath — AI diffusion without sovereign compute beneath it has no comparable foundation.&lt;/li&gt;</t>
  </si>
  <si>
    <t>How should India restructure its foreign AI deals to build sovereign capability rather than remain a infrastructure provider?</t>
  </si>
  <si>
    <t>&lt;li&gt;&lt;b&gt;Capability Conditionality Clause&lt;/b&gt; Every foreign AI data centre approval must be contingent on mandatory R&amp;amp;D investment, technology transfer, and local model training commitments — not just infrastructure spend.&lt;/li&gt;
&lt;li&gt;&lt;b&gt;Sovereign Compute Mandate&lt;/b&gt; India must build and own national GPU clusters independent of foreign companies — like France's Sovereign AI initiative — giving Indian researchers compute access without foreign dependency.&lt;/li&gt;
&lt;li&gt;&lt;b&gt;Research University Endowment Fund&lt;/b&gt; Levy a small technology infrastructure cess on foreign AI companies operating in India — channel proceeds into IIT and IISc research endowments — convert infrastructure revenue into capability investment.&lt;/li&gt;
&lt;li&gt;&lt;b&gt;Data Localisation with Teeth&lt;/b&gt; Indian user data generated on foreign AI platforms must feed Indian model training — current data localisation framework is weak and poorly enforced — strategic asset being surrendered freely.&lt;/li&gt;
&lt;li&gt;&lt;b&gt;National AI Research Agency&lt;/b&gt; Create Indian agency with multi-decade funding mandate — fund alternative model architectures, Indian-language foundational models, and AI safety research independently of foreign priorities.&lt;/li&gt;
&lt;li&gt;&lt;b&gt;Deep-Tech Venture Capital&lt;/b&gt; Government-backed patient capital fund specifically for foundational AI, semiconductor design, and AI hardware startups — 10-15 year investment horizons&lt;/li&gt;
&lt;li&gt;&lt;b&gt;Brain Gain Reverse Pipeline&lt;/b&gt; Structured programme to bring back Indian-origin AI researchers from Google, OpenAI, and DeepMind — offer research autonomy, competitive compensation, and national mission framing — talent currently building American AI.&lt;/li&gt;
&lt;li&gt;&lt;b&gt;TSMC-Style National Champion&lt;/b&gt; State-aligned industrial policy to build one world-class Indian AI or semiconductor company — not through protection but through sustained public procurement, research partnership, and strategic financing over decades.&lt;/li&gt;</t>
  </si>
  <si>
    <t>Human Resource Crisis in India’s Health System</t>
  </si>
  <si>
    <t>Health Sector, Deficits in Health</t>
  </si>
  <si>
    <t>&lt;p&gt;Countries like Cuba, Thailand, and Brazil have achieved equitable doctor distribution through deliberate policy design. Suggest a comprehensive framework for India to restructure its National Health Mission to ensure specialists reach where they are needed most.&lt;/p&gt;</t>
  </si>
  <si>
    <t>&lt;li&gt;&lt;b&gt;CHC Vacancy Data&lt;/b&gt; 79.9% specialist vacancy rate in 5,491 CHCs — only 4,413 specialists available against 21,964 required — shortfall of 17,500 unchanged since 2014 despite 72,627 new PG seats created across 731 colleges.&lt;/li&gt;
&lt;li&gt;&lt;b&gt;CHC Design Standard&lt;/b&gt; Each CHC designed to serve 1.6-2 lakh population with 30 beds and five specialists — physician, surgeon, obstetrician, paediatrician, anaesthetist — majority function effectively as basic primary health centres due to specialist absence.&lt;/li&gt;
&lt;li&gt;&lt;b&gt;India's Doctor Density&lt;/b&gt; India has approximately 1 doctor per 834 population — WHO norm is 1 per 1,000 — aggregate numbers appear adequate but extreme urban concentration masks severe rural deficit.&lt;/li&gt;
&lt;li&gt;&lt;b&gt;Cuba's Community Doctor Model&lt;/b&gt; One doctor and one nurse per 120-150 families — state-controlled medical pipeline with mandatory rural deployment — Cuba achieves health outcomes comparable to developed nations at fraction of their health expenditure.&lt;/li&gt;
&lt;li&gt;&lt;b&gt;AIIMS Faculty Crisis&lt;/b&gt; 11 of 18 AIIMS report 40% faculty vacancies — premier institutions training India's specialists are themselves critically understaffed&lt;/li&gt;</t>
  </si>
  <si>
    <t>On March 11, 2026, the Minister of State for Health, informed Parliament that 43 new medical colleges have been established and 11,682 MBBS seats along with 8,967 postgraduate seats have been approved for the 2025-26 academic year.</t>
  </si>
  <si>
    <t>Critically examine the structural flaws in India's Community Health Centre model</t>
  </si>
  <si>
    <t>&lt;li&gt;&lt;b&gt;Unrealistic Specialist Norm&lt;/b&gt; Each CHC needs five specialists for 1.6-2 lakh population — designed without considering the ground reality where there is acute shortage.&lt;/li&gt;
&lt;li&gt;&lt;b&gt;79.9% Vacancy Rate&lt;/b&gt; Only 4,413 specialists available against 21,964 required — shortfall of 17,500 unchanged since 2014 despite 72,627 new PG seats created.&lt;/li&gt;
&lt;li&gt;&lt;b&gt;Piecemeal Posting Failure&lt;/b&gt; Specialists posted individually — a surgeon without anaesthetist cannot operate — partial deployment produces zero functional output.&lt;/li&gt;
&lt;li&gt;&lt;b&gt;Infrastructure Without Operations&lt;/b&gt; Central budget funds construction — but drugs, diagnostics, ambulances, and emergency care left to underfunded state budgets.&lt;/li&gt;
&lt;li&gt;&lt;b&gt;CHC Proliferation Problem&lt;/b&gt; There are 5,491 CHCs across 785 districts — about seven CHCs per district — which is not a feasible model. With only 4,413 specialists available at present, just 882 CHCs can be fully operationalised, effectively leaving only one functional CHC per district.&lt;/li&gt;
&lt;li&gt;&lt;b&gt;Staff Facilities Deficit&lt;/b&gt; No decent accommodation, no schools for children, no peer support — basic quality of life absent — as a result specialists rationally choose urban postings.&lt;/li&gt;
&lt;li&gt;&lt;b&gt;AIIMS Faculty Vacancy&lt;/b&gt; 11 of 18 AIIMS report 40% faculty vacancies — institutions meant to train specialists are themselves critically understaffed.&lt;/li&gt;
&lt;li&gt;&lt;b&gt;Aspirational District Neglect&lt;/b&gt; Tribal, hilly, remote districts face worst facilities and highest vacancies — specialists systematically avoid exactly where they are most needed.&lt;/li&gt;
&lt;li&gt;&lt;b&gt;Private College Misalignment&lt;/b&gt; 27 of 43 new medical colleges approved for 2025-26 are private — charge capitation fees up to ₹1 crore for MBBS — graduates carry debt burden compelling private urban practice&lt;/li&gt;</t>
  </si>
  <si>
    <t>How do countries like Cuba, Thailand, and Brazil ensure equitable distribution of doctors in rural areas?</t>
  </si>
  <si>
    <t xml:space="preserve">&lt;p&gt;&lt;b&gt;Cuba — &lt;/b&gt;&lt;/p&gt;
&lt;li&gt;&lt;b&gt;State-Controlled Medical Pipeline&lt;/b&gt; Medical education entirely state-funded and state-directed — graduates mandated to serve in assigned rural postings before entering specialisation — no private sector alternative exit route exists.&lt;/li&gt;
&lt;li&gt;&lt;b&gt;Community Doctor Model&lt;/b&gt; One doctor and one nurse assigned to every 120-150 families — hyper-local deployment model eliminates rural-urban access gap — India's CHC model serves populations 1,000 times larger with fewer doctors.&lt;/li&gt;
&lt;p&gt;&lt;b&gt;Thailand -&lt;/b&gt;&lt;/p&gt;
&lt;li&gt;&lt;b&gt;Rural Bonding Policy&lt;/b&gt; Medical graduates from rural backgrounds given preferential admission — bonded to serve three years in rural public hospitals post-graduation — retention rates significantly higher than urban-origin doctors.&lt;/li&gt;
&lt;li&gt;&lt;b&gt;Contracting Unit of Primary Care&lt;/b&gt; Sub-district level health units staffed by contracted doctors under capitation payment model — financial incentives aligned with rural service delivery, not urban private practice.&lt;/li&gt;
&lt;p&gt;&lt;b&gt;Brazil — &lt;/b&gt;&lt;/p&gt;
&lt;li&gt;&lt;b&gt;Mais Médicos Programme&lt;/b&gt; "More Doctors" programme launched 2013 — recruited 18,000 doctors including Cuban physicians — deployed specifically to underserved municipalities — directly addressed rural specialist shortage through emergency international recruitment.&lt;/li&gt;
&lt;li&gt;&lt;b&gt;Family Health Strategy&lt;/b&gt; Community-based family health teams covering 70% of population — each team includes doctor, nurse, and community health workers — Brazil's rural health outcomes transformed within two decades.&lt;/li&gt;
</t>
  </si>
  <si>
    <t>How can India's National Health Mission be redesigned to address the human resource crisis in rural health infrastructure?</t>
  </si>
  <si>
    <t>&lt;li&gt;&lt;b&gt;Vacancy-Linked PG Seats&lt;/b&gt; Government PG seats must directly match existing CHC specialist vacancies — candidates fill specific specialty gaps, not generic seats.&lt;/li&gt;
&lt;li&gt;&lt;b&gt;Mandatory Service Bond&lt;/b&gt; PG seat recipients must serve in designated public facility immediately upon graduation — 10-year bond in difficult areas gets priority admission.&lt;/li&gt;
&lt;li&gt;&lt;b&gt;All-or-None Posting&lt;/b&gt; All five specialists posted together or none — prevents piecemeal deployment creating non-functional facilities.&lt;/li&gt;
&lt;li&gt;&lt;b&gt;Three-Tier Area Classification&lt;/b&gt; Classify all PHCs and CHCs into normal, difficult, most difficult — Chhattisgarh's Rural Medical Corps provides replicable national blueprint.&lt;/li&gt;
&lt;li&gt;&lt;b&gt;Differentiated Incentives&lt;/b&gt; Most difficult areas get financial allowances, accelerated PG priority, staff quarters, children's schooling — rural posting made attractive, not just obligatory.&lt;/li&gt;
&lt;li&gt;&lt;b&gt;Operational Budget Rebalancing&lt;/b&gt; Shift NHM allocations from construction to operations — drugs, diagnostics, ambulances, emergency care currently starved of central funding.&lt;/li&gt;
&lt;li&gt;&lt;b&gt;Outcome-Based NHM Metrics&lt;/b&gt; Replace infrastructure targets with specialist deployment rates, CHC operationalisation percentages, and patient satisfaction scores as primary accountability measures.&lt;/li&gt;</t>
  </si>
  <si>
    <t>One Year of Operation Sindoor</t>
  </si>
  <si>
    <t>GS-3: Internal Security</t>
  </si>
  <si>
    <t>Operation Sindoor, Internal Security, India-Pakistan</t>
  </si>
  <si>
    <t>&lt;p&gt;"Operation Sindoor marks India's transition from strategic restraint to a doctrine of rapid, technology-driven, multi-domain military retaliation." Critically examine how this doctrinal shift reshapes India's national security architecture and its implications for regional stability in South Asia.&lt;/p&gt;</t>
  </si>
  <si>
    <t>&lt;li&gt;2016 Surgical Strikes targeted PoK terror launch pads — 2019 Balakot crossed LoC briefly hitting one terror camp — 2025 Sindoor struck deep inside Pakistan including military airfields &lt;/li&gt;
&lt;li&gt;&lt;b&gt;S-400 Missile Defence from Russia Comes to Rescue — &lt;/b&gt;India's S-400 deployment significantly altered Pakistan Air Force's operational calculus — forced Pakistani aircraft to avoid large portions of airspace — air superiority achieved within 72 hours partly due to S-400 coverage.&lt;/li&gt;
&lt;li&gt;&lt;b&gt;Akashteer System&lt;/b&gt; India's indigenous Akashteer Air Defence Control and Reporting System — automated, network-centric — coordinates multiple air defence assets in real time — first combat validation during Sindoor against Pakistani drone and missile attacks.&lt;/li&gt;</t>
  </si>
  <si>
    <t>Operation Sindoor was launched on May 7, 2025 — nine days after Pakistani-backed terrorists killed 26 tourists at Pahalgam's Baisaran meadow on April 22, 2025. Indian forces conducted precision strikes over 88 hours, destroying nine terror camps and 11 airfields across Pakistan and PoK
Pakistan sought ceasefire by May 9. One year on, the operation is seen as a watershed — marking India's shift from strategic restraint to rapid, technology-driven, multi-domain military retaliation against cross-border terror.</t>
  </si>
  <si>
    <t>How did Operation Sindoor signal a fundamental shift in India's counter-terrorism and military doctrine?</t>
  </si>
  <si>
    <t>&lt;li&gt;&lt;b&gt;End of Strategic Restraint&lt;/b&gt; India abandoned its post-Kargil policy of absorbing terror attacks diplomatically — Sindoor established that cross-border terrorism triggers conventional military response, not just condemnation.&lt;/li&gt;
&lt;li&gt;&lt;b&gt;Beyond PoK Precedent&lt;/b&gt; 2016 surgical strikes targeted PoK only — 2019 Balakot crossed LoC briefly — Sindoor struck deep inside Pakistan including Bahawalpur and Muridke — qualitative escalation of geographic reach.&lt;/li&gt;
&lt;li&gt;&lt;b&gt;Punish State, Not Just Terror&lt;/b&gt; By targeting Pakistani military airfields alongside terror camps — India held Pakistani state accountable for harbouring terror infrastructure — collapsed distinction between terrorist and sponsor.&lt;/li&gt;
&lt;li&gt;&lt;b&gt;Rapid Retaliation Doctrine&lt;/b&gt; Nine days from Pahalgam to strikes — compressed decision-to-strike timeline — signals India will not wait for diplomatic processes before retaliating — speed itself is a deterrent message.&lt;/li&gt;
&lt;li&gt;&lt;b&gt;Nuclear Threshold Tested&lt;/b&gt; India conducted deep strikes despite Pakistan's nuclear arsenal — demonstrated that nuclear deterrence will not indefinitely shield Pakistan from conventional retaliation for supporting terror.&lt;/li&gt;
&lt;li&gt;&lt;b&gt;Operation Declared Open-Ended&lt;/b&gt; Armed forces explicitly stated Sindoor is "paused, not ended" — first time India maintained a conditional ongoing operation posture — creates permanent pressure on Pakistan's terror infrastructure calculus.&lt;/li&gt;
&lt;li&gt;&lt;b&gt;Multi-Agency Unified Command&lt;/b&gt; Army, Air Force, Navy, intelligence, cyber, and space assets operated in coordinated real-time framework — doctrine evolved from single-service response to genuine integrated joint operations.&lt;/li&gt;
&lt;li&gt;&lt;b&gt;Narrative Control Simultaneous&lt;/b&gt; Parliamentary delegations sent to multiple countries simultaneously with strikes — information warfare and kinetic operations ran in parallel — doctrine now treats narrative control as integral to military operation.&lt;/li&gt;
&lt;li&gt;&lt;b&gt;Civilisational Framing Deliberate&lt;/b&gt; Naming the operation Sindoor — evoking widowhood and feminine grief — was a deliberate doctrinal communication: India frames counter-terrorism as protection of civilians and cultural dignity, not mere military retaliation.&lt;/li&gt;</t>
  </si>
  <si>
    <t>What does Operation Sindoor reveal about India's multi-domain warfare capabilities and indigenous defence readiness?</t>
  </si>
  <si>
    <t>&lt;li&gt;&lt;b&gt;Integrated Multi-Domain Operations&lt;/b&gt; Army, Air Force, Navy, cyber, space, and intelligence operated simultaneously in real-time — first genuine test of India's joint warfare architecture under live combat conditions.&lt;/li&gt;
&lt;li&gt;&lt;b&gt;Air Superiority Achieved Rapidly&lt;/b&gt; India achieved air superiority within 72 hours — Rafale jets with SCALP cruise missiles and HAMMER precision bombs demonstrated decisive air dominance over Pakistani airspace.&lt;/li&gt;
&lt;li&gt;&lt;b&gt;Navy's Strategic Blockade&lt;/b&gt; Indian Navy deployed Carrier Battle Group in Arabian Sea — Pakistani Navy confined to harbour throughout operation — maritime domain controlled without firing a single naval shot.&lt;/li&gt;
&lt;li&gt;&lt;b&gt;BrahMos Combat Validation&lt;/b&gt; BrahMos supersonic cruise missiles used extensively in precision strikes — first large-scale combat deployment — validated India's most potent indigenous strike weapon under real operational conditions.&lt;/li&gt;
&lt;li&gt;&lt;b&gt;Akash and S-400 Integration&lt;/b&gt; Akash missile batteries and S-400 systems intercepted Pakistani drones and missiles — Akashteer air-defence network coordinated responses in real time — layered air defence proved operationally effective.&lt;/li&gt;
&lt;li&gt;&lt;b&gt;Loitering Munitions Debut&lt;/b&gt; Indigenous loitering munitions deployed at scale — signals India's drone warfare capability has matured from surveillance to precision strike — asymmetric warfare toolkit significantly expanded.&lt;/li&gt;
&lt;li&gt;&lt;b&gt;Space-Integrated Battlefield&lt;/b&gt; ISRO satellites, NavIC navigation, and NTRO intelligence inputs integrated into real-time target identification and battle damage assessment — space domain operationalised as active warfare enabler.&lt;/li&gt;
&lt;li&gt;&lt;b&gt;11 Airfields Destroyed&lt;/b&gt; Destruction of Pakistani military airfields alongside nine terror camps — demonstrated India's ability to degrade conventional military infrastructure deep inside adversary territory with precision.&lt;/li&gt;
&lt;li&gt;&lt;b&gt;PL-15 Missile Intelligence Windfall&lt;/b&gt; Recovery of intact Chinese-origin PL-15 beyond-visual-range missile fired by Pakistan — confirmed Beijing's operational weapons support to Islamabad — provided India rare intelligence on advanced Chinese air combat technology.&lt;/li&gt;
&lt;li&gt;&lt;b&gt;Atmanirbhar Bharat Validated&lt;/b&gt; Indigenous systems — BrahMos, Akash, Akashteer, loitering munitions, NavIC — performed under combat conditions — single most significant real-world validation of India's defence self-reliance programme since independence.&lt;/li&gt;</t>
  </si>
  <si>
    <t>What are the risks of the new deterrence precedent set by Operation Sindoor for future India-Pakistan crises?</t>
  </si>
  <si>
    <t>&lt;li&gt;&lt;b&gt;Compressed Crisis Timelines&lt;/b&gt; Nine-day decision-to-strike cycle sets expectation of rapid retaliation — future crises will face intense domestic pressure to respond even faster — leaving less time for diplomacy and de-escalation.&lt;/li&gt;
&lt;li&gt;&lt;b&gt;Nuclear Threshold Uncertainty&lt;/b&gt; India demonstrated conventional strikes despite nuclear arsenal — Pakistan may lower its nuclear first-use threshold in future crises &lt;/li&gt;
&lt;li&gt;&lt;b&gt;Pakistan's Compulsion to Respond&lt;/b&gt; Pakistani military and domestic politics now demand visible retaliation for any future Indian strike — political cost of absorbing strikes without response has risen sharply since Sindoor ceasefire.&lt;/li&gt;
&lt;li&gt;&lt;b&gt;Weaker External Constraints&lt;/b&gt; US accepted India's counter-terrorism framing conditionally — but next crisis may not enjoy same international tolerance &lt;/li&gt;
&lt;li&gt;&lt;b&gt;China Emboldened Proxy Role&lt;/b&gt; PL-15 recovery confirms China's operational weapons supply to Pakistan — future crises may see deeper Chinese involvement — transforms bilateral India-Pakistan conflict into trilateral strategic confrontation.&lt;/li&gt;
&lt;li&gt;&lt;b&gt;Open-Ended Operation Risk&lt;/b&gt; India's declaration that Sindoor is "paused not ended" creates ambiguity — Pakistan cannot distinguish between routine military activity and preparation for fresh strikes &lt;/li&gt;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</si>
</sst>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dd mmmm yyyy"/>
  </numFmts>
  <fonts count="5">
    <font>
      <sz val="10.0"/>
      <color rgb="FF000000"/>
      <name val="Arial"/>
      <scheme val="minor"/>
    </font>
    <font>
      <b/>
      <sz val="11.0"/>
      <color rgb="FF000000"/>
      <name val="Calibri"/>
    </font>
    <font>
      <sz val="11.0"/>
      <color rgb="FF000000"/>
      <name val="Calibri"/>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readingOrder="0" shrinkToFit="0" wrapText="1"/>
    </xf>
    <xf borderId="0" fillId="0" fontId="1" numFmtId="164" xfId="0" applyAlignment="1" applyFont="1" applyNumberFormat="1">
      <alignment horizontal="center" readingOrder="0" shrinkToFit="0" wrapText="1"/>
    </xf>
    <xf borderId="0" fillId="0" fontId="2" numFmtId="0" xfId="0" applyAlignment="1" applyFont="1">
      <alignment horizontal="center" readingOrder="0" shrinkToFit="0" wrapText="1"/>
    </xf>
    <xf borderId="0" fillId="0" fontId="3" numFmtId="0" xfId="0" applyAlignment="1" applyFont="1">
      <alignment readingOrder="0"/>
    </xf>
    <xf borderId="0" fillId="0" fontId="4" numFmtId="0" xfId="0" applyFont="1"/>
    <xf borderId="0" fillId="0" fontId="1" numFmtId="165" xfId="0" applyAlignment="1" applyFont="1" applyNumberForma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46129.0</v>
      </c>
      <c r="B2" s="3" t="s">
        <v>21</v>
      </c>
      <c r="C2" s="4" t="s">
        <v>22</v>
      </c>
      <c r="D2" s="4" t="s">
        <v>23</v>
      </c>
      <c r="E2" s="5" t="str">
        <f>HYPERLINK("https://www.thehindu.com/opinion/op-ed/indias-rural-models-are-shaping-development-diplomacy/article70870744.ece","India’s rural models are shaping development diplomacy: The Hindu")</f>
        <v>India’s rural models are shaping development diplomacy: The Hindu</v>
      </c>
      <c r="F2" s="4" t="s">
        <v>24</v>
      </c>
      <c r="G2" s="4" t="s">
        <v>25</v>
      </c>
      <c r="H2" s="4" t="s">
        <v>26</v>
      </c>
      <c r="I2" s="4" t="s">
        <v>27</v>
      </c>
      <c r="J2" s="4" t="s">
        <v>28</v>
      </c>
      <c r="K2" s="4" t="s">
        <v>29</v>
      </c>
      <c r="L2" s="4" t="s">
        <v>30</v>
      </c>
      <c r="M2" s="4" t="s">
        <v>31</v>
      </c>
      <c r="N2" s="4" t="s">
        <v>32</v>
      </c>
      <c r="O2" s="4" t="s">
        <v>33</v>
      </c>
      <c r="P2" s="4" t="s">
        <v>34</v>
      </c>
    </row>
    <row r="3">
      <c r="A3" s="2">
        <v>46130.0</v>
      </c>
      <c r="B3" s="3" t="s">
        <v>35</v>
      </c>
      <c r="C3" s="4" t="s">
        <v>22</v>
      </c>
      <c r="D3" s="4" t="s">
        <v>36</v>
      </c>
      <c r="E3" s="5" t="str">
        <f>HYPERLINK("https://www.thehindu.com/data/why-noidas-factory-unrest-is-about-more-than-just-minimum-wages/article70870329.ece","Why Noida’s factory unrest is about more than just minimum wages: The Hindu")</f>
        <v>Why Noida’s factory unrest is about more than just minimum wages: The Hindu</v>
      </c>
      <c r="F3" s="4" t="s">
        <v>37</v>
      </c>
      <c r="G3" s="4" t="s">
        <v>38</v>
      </c>
      <c r="H3" s="4" t="s">
        <v>39</v>
      </c>
      <c r="I3" s="4" t="s">
        <v>40</v>
      </c>
      <c r="J3" s="4" t="s">
        <v>41</v>
      </c>
      <c r="K3" s="4" t="s">
        <v>42</v>
      </c>
      <c r="L3" s="4" t="s">
        <v>43</v>
      </c>
      <c r="M3" s="4" t="s">
        <v>44</v>
      </c>
      <c r="N3" s="4" t="s">
        <v>45</v>
      </c>
      <c r="O3" s="4" t="s">
        <v>46</v>
      </c>
      <c r="P3" s="4" t="s">
        <v>47</v>
      </c>
    </row>
    <row r="4">
      <c r="A4" s="2">
        <v>46134.0</v>
      </c>
      <c r="B4" s="3" t="s">
        <v>48</v>
      </c>
      <c r="C4" s="4" t="s">
        <v>49</v>
      </c>
      <c r="D4" s="4" t="s">
        <v>50</v>
      </c>
      <c r="E4" s="5" t="str">
        <f>HYPERLINK("https://www.thehindu.com/opinion/op-ed/indias-lpg-crisis-is-the-wake-up-call-it-cannot-ignore/article70889842.ece","India’s LPG crisis is the wake-up call it cannot ignore: The Hindu")</f>
        <v>India’s LPG crisis is the wake-up call it cannot ignore: The Hindu</v>
      </c>
      <c r="F4" s="4" t="s">
        <v>51</v>
      </c>
      <c r="G4" s="4" t="s">
        <v>52</v>
      </c>
      <c r="H4" s="4" t="s">
        <v>53</v>
      </c>
      <c r="I4" s="4" t="s">
        <v>54</v>
      </c>
      <c r="J4" s="4" t="s">
        <v>55</v>
      </c>
      <c r="K4" s="4" t="s">
        <v>56</v>
      </c>
      <c r="L4" s="4" t="s">
        <v>57</v>
      </c>
      <c r="M4" s="4" t="s">
        <v>58</v>
      </c>
      <c r="N4" s="4" t="s">
        <v>59</v>
      </c>
    </row>
    <row r="5">
      <c r="A5" s="2">
        <v>46135.0</v>
      </c>
      <c r="B5" s="3" t="s">
        <v>60</v>
      </c>
      <c r="C5" s="4" t="s">
        <v>61</v>
      </c>
      <c r="D5" s="4" t="s">
        <v>62</v>
      </c>
      <c r="E5" s="5" t="str">
        <f>HYPERLINK("https://www.thehindu.com/opinion/editorial/common-concerns-on-india-south-korea-ties/article70894127.ece","Common concerns: on India-South Korea ties: The Hindu")</f>
        <v>Common concerns: on India-South Korea ties: The Hindu</v>
      </c>
      <c r="F5" s="4" t="s">
        <v>63</v>
      </c>
      <c r="G5" s="4" t="s">
        <v>64</v>
      </c>
      <c r="H5" s="4" t="s">
        <v>65</v>
      </c>
      <c r="I5" s="4" t="s">
        <v>66</v>
      </c>
      <c r="J5" s="4" t="s">
        <v>67</v>
      </c>
      <c r="K5" s="4" t="s">
        <v>68</v>
      </c>
      <c r="L5" s="4" t="s">
        <v>69</v>
      </c>
      <c r="M5" s="4" t="s">
        <v>70</v>
      </c>
      <c r="N5" s="4" t="s">
        <v>71</v>
      </c>
    </row>
    <row r="6">
      <c r="A6" s="2">
        <v>46136.0</v>
      </c>
      <c r="B6" s="3" t="s">
        <v>72</v>
      </c>
      <c r="C6" s="4" t="s">
        <v>73</v>
      </c>
      <c r="D6" s="4" t="s">
        <v>74</v>
      </c>
      <c r="E6" s="5" t="str">
        <f>HYPERLINK("https://www.thehindu.com/opinion/editorial/high-heat-on-india-and-warming/article70897842.ece","High heat: On India and warming: The Hindu")</f>
        <v>High heat: On India and warming: The Hindu</v>
      </c>
      <c r="F6" s="4" t="s">
        <v>75</v>
      </c>
      <c r="G6" s="4" t="s">
        <v>76</v>
      </c>
      <c r="H6" s="4" t="s">
        <v>77</v>
      </c>
      <c r="I6" s="4" t="s">
        <v>78</v>
      </c>
      <c r="J6" s="4" t="s">
        <v>79</v>
      </c>
      <c r="K6" s="4" t="s">
        <v>80</v>
      </c>
      <c r="L6" s="4" t="s">
        <v>81</v>
      </c>
      <c r="M6" s="4" t="s">
        <v>82</v>
      </c>
      <c r="N6" s="4" t="s">
        <v>83</v>
      </c>
      <c r="O6" s="4" t="s">
        <v>84</v>
      </c>
      <c r="P6" s="4" t="s">
        <v>85</v>
      </c>
    </row>
    <row r="7">
      <c r="A7" s="2">
        <v>46140.0</v>
      </c>
      <c r="B7" s="3" t="s">
        <v>86</v>
      </c>
      <c r="C7" s="4" t="s">
        <v>87</v>
      </c>
      <c r="D7" s="4" t="s">
        <v>88</v>
      </c>
      <c r="E7" s="5" t="str">
        <f>HYPERLINK("https://www.thehindu.com/opinion/editorial/gang-of-seven-on-the-aap-defections/article70913116.ece","Gang of seven: On the AAP defections: The Hindu")</f>
        <v>Gang of seven: On the AAP defections: The Hindu</v>
      </c>
      <c r="F7" s="4" t="s">
        <v>89</v>
      </c>
      <c r="G7" s="4" t="s">
        <v>90</v>
      </c>
      <c r="H7" s="4" t="s">
        <v>91</v>
      </c>
      <c r="I7" s="4" t="s">
        <v>92</v>
      </c>
      <c r="J7" s="4" t="s">
        <v>93</v>
      </c>
      <c r="K7" s="4" t="s">
        <v>94</v>
      </c>
      <c r="L7" s="4" t="s">
        <v>95</v>
      </c>
      <c r="M7" s="4" t="s">
        <v>96</v>
      </c>
      <c r="N7" s="4" t="s">
        <v>97</v>
      </c>
    </row>
    <row r="8">
      <c r="A8" s="2">
        <v>46141.0</v>
      </c>
      <c r="B8" s="3" t="s">
        <v>98</v>
      </c>
      <c r="C8" s="4" t="s">
        <v>61</v>
      </c>
      <c r="D8" s="4" t="s">
        <v>99</v>
      </c>
      <c r="E8" s="5" t="str">
        <f>HYPERLINK("https://www.pib.gov.in/PressReleasePage.aspx?PRID=2255914&amp;reg=3&amp;lang=2","PIB")</f>
        <v>PIB</v>
      </c>
      <c r="F8" s="4" t="s">
        <v>100</v>
      </c>
      <c r="G8" s="4" t="s">
        <v>101</v>
      </c>
      <c r="H8" s="4" t="s">
        <v>102</v>
      </c>
      <c r="I8" s="4" t="s">
        <v>103</v>
      </c>
      <c r="J8" s="4" t="s">
        <v>104</v>
      </c>
      <c r="K8" s="4" t="s">
        <v>105</v>
      </c>
      <c r="L8" s="4" t="s">
        <v>106</v>
      </c>
      <c r="M8" s="4" t="s">
        <v>107</v>
      </c>
      <c r="N8" s="4" t="s">
        <v>108</v>
      </c>
    </row>
    <row r="9">
      <c r="A9" s="2">
        <v>46142.0</v>
      </c>
      <c r="B9" s="3" t="s">
        <v>109</v>
      </c>
      <c r="C9" s="4" t="s">
        <v>61</v>
      </c>
      <c r="D9" s="4" t="s">
        <v>110</v>
      </c>
      <c r="E9" s="5" t="str">
        <f>HYPERLINK("https://www.thehindu.com/opinion/op-ed/south-asian-power-balance-shifts-toward-pakistan/article70921681.ece","South Asian power balance shifts toward Pakistan: The Hindu")</f>
        <v>South Asian power balance shifts toward Pakistan: The Hindu</v>
      </c>
      <c r="F9" s="4" t="s">
        <v>111</v>
      </c>
      <c r="G9" s="4" t="s">
        <v>112</v>
      </c>
      <c r="H9" s="4" t="s">
        <v>113</v>
      </c>
      <c r="I9" s="4" t="s">
        <v>114</v>
      </c>
      <c r="J9" s="4" t="s">
        <v>115</v>
      </c>
      <c r="K9" s="4" t="s">
        <v>116</v>
      </c>
      <c r="L9" s="4" t="s">
        <v>117</v>
      </c>
      <c r="M9" s="4" t="s">
        <v>118</v>
      </c>
      <c r="N9" s="4" t="s">
        <v>119</v>
      </c>
    </row>
    <row r="10">
      <c r="A10" s="6">
        <v>46143.0</v>
      </c>
      <c r="B10" s="3" t="s">
        <v>120</v>
      </c>
      <c r="C10" s="4" t="s">
        <v>61</v>
      </c>
      <c r="D10" s="4" t="s">
        <v>121</v>
      </c>
      <c r="E10" s="5" t="str">
        <f>HYPERLINK("https://www.thehindu.com/opinion/editorial/gulf-within-on-the-uae-leaving-opec/article70925606.ece","Gulf within: On the UAE leaving OPEC: The Hindu")</f>
        <v>Gulf within: On the UAE leaving OPEC: The Hindu</v>
      </c>
      <c r="F10" s="4" t="s">
        <v>122</v>
      </c>
      <c r="G10" s="4" t="s">
        <v>123</v>
      </c>
      <c r="H10" s="4" t="s">
        <v>124</v>
      </c>
      <c r="I10" s="4" t="s">
        <v>125</v>
      </c>
      <c r="J10" s="4" t="s">
        <v>126</v>
      </c>
      <c r="K10" s="4" t="s">
        <v>127</v>
      </c>
      <c r="L10" s="4" t="s">
        <v>128</v>
      </c>
      <c r="M10" s="4" t="s">
        <v>129</v>
      </c>
      <c r="N10" s="4" t="s">
        <v>130</v>
      </c>
    </row>
    <row r="11">
      <c r="A11" s="6">
        <v>46144.0</v>
      </c>
      <c r="B11" s="3" t="s">
        <v>131</v>
      </c>
      <c r="C11" s="4" t="s">
        <v>22</v>
      </c>
      <c r="D11" s="4" t="s">
        <v>132</v>
      </c>
      <c r="E11" s="5" t="str">
        <f>HYPERLINK("https://www.thehindu.com/opinion/editorial/work-in-progress-on-the-household-social-consumption-health-survey/article70928796.ece","Work in progress: On the Household social consumption (health) survey: The Hindu")</f>
        <v>Work in progress: On the Household social consumption (health) survey: The Hindu</v>
      </c>
      <c r="F11" s="4" t="s">
        <v>133</v>
      </c>
      <c r="G11" s="4" t="s">
        <v>134</v>
      </c>
      <c r="H11" s="4" t="s">
        <v>135</v>
      </c>
      <c r="I11" s="4" t="s">
        <v>136</v>
      </c>
      <c r="J11" s="4" t="s">
        <v>137</v>
      </c>
      <c r="K11" s="4" t="s">
        <v>138</v>
      </c>
      <c r="L11" s="4" t="s">
        <v>139</v>
      </c>
      <c r="M11" s="4" t="s">
        <v>140</v>
      </c>
      <c r="N11" s="4" t="s">
        <v>141</v>
      </c>
    </row>
    <row r="12">
      <c r="A12" s="6">
        <v>46146.0</v>
      </c>
      <c r="B12" s="3" t="s">
        <v>142</v>
      </c>
      <c r="C12" s="4" t="s">
        <v>49</v>
      </c>
      <c r="E12" s="5" t="str">
        <f>HYPERLINK("https://indianexpress.com/article/opinion/editorials/the-next-fuel-shift-more-ethanol-in-indians-gas-tank-10671139/","The next fuel shift: More ethanol in Indians’ gas tank: Indian Express")</f>
        <v>The next fuel shift: More ethanol in Indians’ gas tank: Indian Express</v>
      </c>
      <c r="F12" s="4" t="s">
        <v>143</v>
      </c>
      <c r="G12" s="4" t="s">
        <v>144</v>
      </c>
      <c r="H12" s="4" t="s">
        <v>145</v>
      </c>
      <c r="I12" s="4" t="s">
        <v>146</v>
      </c>
      <c r="J12" s="4" t="s">
        <v>147</v>
      </c>
      <c r="K12" s="4" t="s">
        <v>148</v>
      </c>
      <c r="L12" s="4" t="s">
        <v>149</v>
      </c>
      <c r="M12" s="4" t="s">
        <v>150</v>
      </c>
      <c r="N12" s="4" t="s">
        <v>151</v>
      </c>
    </row>
    <row r="13">
      <c r="A13" s="6">
        <v>46147.0</v>
      </c>
      <c r="B13" s="3" t="s">
        <v>152</v>
      </c>
      <c r="C13" s="4" t="s">
        <v>153</v>
      </c>
      <c r="D13" s="4" t="s">
        <v>154</v>
      </c>
      <c r="E13" s="5" t="str">
        <f>HYPERLINK("https://indianexpress.com/article/opinion/editorials/on-abortion-supreme-court-places-the-woman-at-the-centre-10671125/?ref=view_opinion","On abortion, Supreme Court places the woman at the centre: Indian Express")</f>
        <v>On abortion, Supreme Court places the woman at the centre: Indian Express</v>
      </c>
      <c r="G13" s="4" t="s">
        <v>155</v>
      </c>
      <c r="H13" s="4" t="s">
        <v>156</v>
      </c>
      <c r="I13" s="4" t="s">
        <v>157</v>
      </c>
      <c r="J13" s="4" t="s">
        <v>158</v>
      </c>
      <c r="K13" s="4" t="s">
        <v>159</v>
      </c>
      <c r="L13" s="4" t="s">
        <v>160</v>
      </c>
      <c r="M13" s="4" t="s">
        <v>161</v>
      </c>
      <c r="N13" s="4" t="s">
        <v>162</v>
      </c>
    </row>
    <row r="14">
      <c r="A14" s="6">
        <v>46148.0</v>
      </c>
      <c r="B14" s="3" t="s">
        <v>163</v>
      </c>
      <c r="C14" s="4" t="s">
        <v>49</v>
      </c>
      <c r="E14" s="5" t="str">
        <f>HYPERLINK("https://indianexpress.com/article/opinion/columns/raghuram-rajan-and-rohit-lamba-write-how-can-india-produce-ai-instead-of-becoming-its-tenant-10674728/?ref=top_opinion","How can India produce AI, instead of becoming its tenant?: Indian Express")</f>
        <v>How can India produce AI, instead of becoming its tenant?: Indian Express</v>
      </c>
      <c r="F14" s="4" t="s">
        <v>164</v>
      </c>
      <c r="G14" s="4" t="s">
        <v>165</v>
      </c>
      <c r="H14" s="4" t="s">
        <v>166</v>
      </c>
      <c r="I14" s="4" t="s">
        <v>167</v>
      </c>
      <c r="J14" s="4" t="s">
        <v>168</v>
      </c>
      <c r="K14" s="4" t="s">
        <v>169</v>
      </c>
      <c r="L14" s="4" t="s">
        <v>170</v>
      </c>
      <c r="M14" s="4" t="s">
        <v>171</v>
      </c>
      <c r="N14" s="4" t="s">
        <v>172</v>
      </c>
    </row>
    <row r="15">
      <c r="A15" s="6">
        <v>46149.0</v>
      </c>
      <c r="B15" s="3" t="s">
        <v>173</v>
      </c>
      <c r="C15" s="4" t="s">
        <v>22</v>
      </c>
      <c r="D15" s="4" t="s">
        <v>174</v>
      </c>
      <c r="E15" s="5" t="str">
        <f>HYPERLINK("https://www.thehindu.com/opinion/op-ed/fixing-structural-deficits-in-indias-health-system/article70948106.ece","Fixing structural deficits in India’s health system: The Hindu")</f>
        <v>Fixing structural deficits in India’s health system: The Hindu</v>
      </c>
      <c r="F15" s="4" t="s">
        <v>175</v>
      </c>
      <c r="G15" s="4" t="s">
        <v>176</v>
      </c>
      <c r="H15" s="4" t="s">
        <v>177</v>
      </c>
      <c r="I15" s="4" t="s">
        <v>178</v>
      </c>
      <c r="J15" s="4" t="s">
        <v>179</v>
      </c>
      <c r="K15" s="4" t="s">
        <v>180</v>
      </c>
      <c r="L15" s="4" t="s">
        <v>181</v>
      </c>
      <c r="M15" s="4" t="s">
        <v>182</v>
      </c>
      <c r="N15" s="4" t="s">
        <v>183</v>
      </c>
    </row>
    <row r="16">
      <c r="A16" s="6">
        <v>46151.0</v>
      </c>
      <c r="B16" s="3" t="s">
        <v>184</v>
      </c>
      <c r="C16" s="4" t="s">
        <v>185</v>
      </c>
      <c r="D16" s="4" t="s">
        <v>186</v>
      </c>
      <c r="E16" s="5" t="str">
        <f>HYPERLINK("https://indianexpress.com/article/opinion/editorials/operation-sindoor-shone-light-on-challenges-ahead-10678109/","Operation Sindoor shone light on challenges ahead: Indian Express")</f>
        <v>Operation Sindoor shone light on challenges ahead: Indian Express</v>
      </c>
      <c r="F16" s="4" t="s">
        <v>187</v>
      </c>
      <c r="G16" s="4" t="s">
        <v>188</v>
      </c>
      <c r="H16" s="4" t="s">
        <v>189</v>
      </c>
      <c r="I16" s="4" t="s">
        <v>190</v>
      </c>
      <c r="J16" s="4" t="s">
        <v>191</v>
      </c>
      <c r="K16" s="4" t="s">
        <v>192</v>
      </c>
      <c r="L16" s="4" t="s">
        <v>193</v>
      </c>
      <c r="M16" s="4" t="s">
        <v>194</v>
      </c>
      <c r="N16" s="4" t="s">
        <v>195</v>
      </c>
    </row>
    <row r="17">
      <c r="A17" s="1"/>
      <c r="B17" s="3"/>
    </row>
  </sheetData>
  <drawing r:id="rId1"/>
</worksheet>
</file>